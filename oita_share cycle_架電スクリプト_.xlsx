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yutasakurai/Desktop/HUV./"/>
    </mc:Choice>
  </mc:AlternateContent>
  <xr:revisionPtr revIDLastSave="0" documentId="8_{E1F2BF58-B522-ED48-855C-1D9D23B07E8B}" xr6:coauthVersionLast="36" xr6:coauthVersionMax="36" xr10:uidLastSave="{00000000-0000-0000-0000-000000000000}"/>
  <bookViews>
    <workbookView xWindow="0" yWindow="660" windowWidth="30240" windowHeight="18980" xr2:uid="{00000000-000D-0000-FFFF-FFFF00000000}"/>
  </bookViews>
  <sheets>
    <sheet name="架電シート" sheetId="2" r:id="rId1"/>
    <sheet name="設定" sheetId="3" r:id="rId2"/>
    <sheet name="スクリプト_フロー" sheetId="4" r:id="rId3"/>
    <sheet name="0217" sheetId="9" r:id="rId4"/>
    <sheet name="Sheet1" sheetId="11" r:id="rId5"/>
    <sheet name="Sheet2" sheetId="10" r:id="rId6"/>
    <sheet name="Q&amp;A" sheetId="5" r:id="rId7"/>
    <sheet name="リスト" sheetId="6" r:id="rId8"/>
    <sheet name="リスト_依存プルダウン" sheetId="7" state="hidden" r:id="rId9"/>
    <sheet name="内部_リスト" sheetId="8" state="hidden" r:id="rId10"/>
  </sheets>
  <definedNames>
    <definedName name="_xlnm._FilterDatabase" localSheetId="2" hidden="1">スクリプト_フロー!$A$1:$F$46</definedName>
    <definedName name="_xlnm._FilterDatabase" localSheetId="7" hidden="1">リスト!$A$1:$N$30</definedName>
    <definedName name="MAP_TABLE">内部_リスト!$C$2:$D$20</definedName>
    <definedName name="RESPX_001">内部_リスト!$F$2:$F$4</definedName>
    <definedName name="RESPX_002">内部_リスト!$G$2:$G$5</definedName>
    <definedName name="RESPX_003">内部_リスト!$H$2:$H$5</definedName>
    <definedName name="RESPX_004">内部_リスト!$I$2:$I$4</definedName>
    <definedName name="RESPX_005">内部_リスト!$J$2:$J$3</definedName>
    <definedName name="RESPX_006">内部_リスト!$K$2:$K$3</definedName>
    <definedName name="RESPX_007">内部_リスト!$L$2:$L$3</definedName>
    <definedName name="RESPX_008">内部_リスト!$M$2:$M$5</definedName>
    <definedName name="RESPX_009">内部_リスト!$N$2:$N$3</definedName>
    <definedName name="RESPX_010">内部_リスト!$O$2:$O$3</definedName>
    <definedName name="RESPX_011">内部_リスト!$P$2:$P$5</definedName>
    <definedName name="RESPX_012">内部_リスト!$Q$2:$Q$3</definedName>
    <definedName name="RESPX_013">内部_リスト!$R$2:$R$3</definedName>
    <definedName name="RESPX_014">内部_リスト!$S$2:$S$3</definedName>
    <definedName name="RESPX_015">内部_リスト!$T$2:$T$2</definedName>
    <definedName name="RESPX_016">内部_リスト!$U$2:$U$3</definedName>
    <definedName name="RESPX_017">内部_リスト!$V$2:$V$2</definedName>
    <definedName name="RESPX_018">内部_リスト!$W$2:$W$2</definedName>
    <definedName name="RESPX_019">内部_リスト!$X$2:$X$2</definedName>
    <definedName name="STAGE_LIST">内部_リスト!$A$2:$A$20</definedName>
    <definedName name="STATUS_LIST">内部_リスト!$B$2:$B$9</definedName>
  </definedNames>
  <calcPr calcId="181029"/>
  <fileRecoveryPr repairLoad="1"/>
</workbook>
</file>

<file path=xl/calcChain.xml><?xml version="1.0" encoding="utf-8"?>
<calcChain xmlns="http://schemas.openxmlformats.org/spreadsheetml/2006/main">
  <c r="D4" i="11" l="1"/>
  <c r="G2" i="11"/>
  <c r="F4" i="11"/>
  <c r="B4" i="11"/>
  <c r="G3" i="5" l="1"/>
  <c r="P150" i="2"/>
  <c r="Q150" i="2" s="1"/>
  <c r="I150" i="2" s="1"/>
  <c r="P149" i="2"/>
  <c r="Q149" i="2" s="1"/>
  <c r="I149" i="2" s="1"/>
  <c r="P148" i="2"/>
  <c r="P147" i="2"/>
  <c r="P146" i="2"/>
  <c r="P145" i="2"/>
  <c r="J145" i="2" s="1"/>
  <c r="R145" i="2" s="1"/>
  <c r="CZ145" i="2" s="1"/>
  <c r="Q144" i="2"/>
  <c r="I144" i="2" s="1"/>
  <c r="P144" i="2"/>
  <c r="J144" i="2"/>
  <c r="R144" i="2" s="1"/>
  <c r="CZ144" i="2" s="1"/>
  <c r="P143" i="2"/>
  <c r="P142" i="2"/>
  <c r="J142" i="2" s="1"/>
  <c r="R142" i="2" s="1"/>
  <c r="CZ142" i="2" s="1"/>
  <c r="P141" i="2"/>
  <c r="P140" i="2"/>
  <c r="Q140" i="2" s="1"/>
  <c r="I140" i="2" s="1"/>
  <c r="P139" i="2"/>
  <c r="Q139" i="2" s="1"/>
  <c r="I139" i="2" s="1"/>
  <c r="P138" i="2"/>
  <c r="P137" i="2"/>
  <c r="Q137" i="2" s="1"/>
  <c r="I137" i="2" s="1"/>
  <c r="P136" i="2"/>
  <c r="P135" i="2"/>
  <c r="Q135" i="2" s="1"/>
  <c r="I135" i="2" s="1"/>
  <c r="J135" i="2"/>
  <c r="R135" i="2" s="1"/>
  <c r="CZ135" i="2" s="1"/>
  <c r="U135" i="2" s="1"/>
  <c r="V135" i="2" s="1"/>
  <c r="DB135" i="2" s="1"/>
  <c r="Q134" i="2"/>
  <c r="I134" i="2" s="1"/>
  <c r="P134" i="2"/>
  <c r="J134" i="2"/>
  <c r="R134" i="2" s="1"/>
  <c r="CZ134" i="2" s="1"/>
  <c r="P133" i="2"/>
  <c r="Q133" i="2" s="1"/>
  <c r="I133" i="2" s="1"/>
  <c r="J133" i="2"/>
  <c r="R133" i="2" s="1"/>
  <c r="CZ133" i="2" s="1"/>
  <c r="P132" i="2"/>
  <c r="J132" i="2" s="1"/>
  <c r="R132" i="2" s="1"/>
  <c r="CZ132" i="2" s="1"/>
  <c r="P131" i="2"/>
  <c r="P130" i="2"/>
  <c r="J130" i="2" s="1"/>
  <c r="R130" i="2" s="1"/>
  <c r="CZ130" i="2" s="1"/>
  <c r="P129" i="2"/>
  <c r="Q129" i="2" s="1"/>
  <c r="I129" i="2" s="1"/>
  <c r="J129" i="2"/>
  <c r="R129" i="2" s="1"/>
  <c r="CZ129" i="2" s="1"/>
  <c r="P128" i="2"/>
  <c r="Q128" i="2" s="1"/>
  <c r="I128" i="2" s="1"/>
  <c r="P127" i="2"/>
  <c r="Q127" i="2" s="1"/>
  <c r="I127" i="2" s="1"/>
  <c r="J127" i="2"/>
  <c r="R127" i="2" s="1"/>
  <c r="CZ127" i="2" s="1"/>
  <c r="DA127" i="2" s="1"/>
  <c r="T127" i="2" s="1"/>
  <c r="Q126" i="2"/>
  <c r="I126" i="2" s="1"/>
  <c r="P126" i="2"/>
  <c r="J126" i="2" s="1"/>
  <c r="R126" i="2" s="1"/>
  <c r="CZ126" i="2" s="1"/>
  <c r="P125" i="2"/>
  <c r="P124" i="2"/>
  <c r="P123" i="2"/>
  <c r="P122" i="2"/>
  <c r="P121" i="2"/>
  <c r="J121" i="2" s="1"/>
  <c r="R121" i="2" s="1"/>
  <c r="CZ121" i="2" s="1"/>
  <c r="P120" i="2"/>
  <c r="Q120" i="2" s="1"/>
  <c r="I120" i="2" s="1"/>
  <c r="J120" i="2"/>
  <c r="R120" i="2" s="1"/>
  <c r="CZ120" i="2" s="1"/>
  <c r="DA120" i="2" s="1"/>
  <c r="T120" i="2" s="1"/>
  <c r="P119" i="2"/>
  <c r="Q119" i="2" s="1"/>
  <c r="I119" i="2" s="1"/>
  <c r="P118" i="2"/>
  <c r="P117" i="2"/>
  <c r="P116" i="2"/>
  <c r="P115" i="2"/>
  <c r="Q115" i="2" s="1"/>
  <c r="I115" i="2" s="1"/>
  <c r="P114" i="2"/>
  <c r="Q114" i="2" s="1"/>
  <c r="I114" i="2" s="1"/>
  <c r="J114" i="2"/>
  <c r="R114" i="2" s="1"/>
  <c r="CZ114" i="2" s="1"/>
  <c r="P113" i="2"/>
  <c r="Q113" i="2" s="1"/>
  <c r="I113" i="2" s="1"/>
  <c r="P112" i="2"/>
  <c r="P111" i="2"/>
  <c r="P110" i="2"/>
  <c r="Q110" i="2" s="1"/>
  <c r="I110" i="2" s="1"/>
  <c r="J110" i="2"/>
  <c r="R110" i="2" s="1"/>
  <c r="CZ110" i="2" s="1"/>
  <c r="P109" i="2"/>
  <c r="P108" i="2"/>
  <c r="Q108" i="2" s="1"/>
  <c r="I108" i="2" s="1"/>
  <c r="J108" i="2"/>
  <c r="R108" i="2" s="1"/>
  <c r="CZ108" i="2" s="1"/>
  <c r="P107" i="2"/>
  <c r="J107" i="2" s="1"/>
  <c r="R107" i="2" s="1"/>
  <c r="CZ107" i="2" s="1"/>
  <c r="P106" i="2"/>
  <c r="P105" i="2"/>
  <c r="J105" i="2" s="1"/>
  <c r="R105" i="2" s="1"/>
  <c r="CZ105" i="2" s="1"/>
  <c r="DA105" i="2" s="1"/>
  <c r="T105" i="2" s="1"/>
  <c r="P104" i="2"/>
  <c r="Q104" i="2" s="1"/>
  <c r="I104" i="2" s="1"/>
  <c r="J104" i="2"/>
  <c r="R104" i="2" s="1"/>
  <c r="CZ104" i="2" s="1"/>
  <c r="P103" i="2"/>
  <c r="Q103" i="2" s="1"/>
  <c r="I103" i="2" s="1"/>
  <c r="J103" i="2"/>
  <c r="R103" i="2" s="1"/>
  <c r="CZ103" i="2" s="1"/>
  <c r="P102" i="2"/>
  <c r="Q101" i="2"/>
  <c r="I101" i="2" s="1"/>
  <c r="P101" i="2"/>
  <c r="J101" i="2"/>
  <c r="R101" i="2" s="1"/>
  <c r="CZ101" i="2" s="1"/>
  <c r="P100" i="2"/>
  <c r="Q100" i="2" s="1"/>
  <c r="I100" i="2" s="1"/>
  <c r="P99" i="2"/>
  <c r="P98" i="2"/>
  <c r="J98" i="2" s="1"/>
  <c r="R98" i="2" s="1"/>
  <c r="CZ98" i="2" s="1"/>
  <c r="P97" i="2"/>
  <c r="Q96" i="2"/>
  <c r="I96" i="2" s="1"/>
  <c r="P96" i="2"/>
  <c r="J96" i="2"/>
  <c r="R96" i="2" s="1"/>
  <c r="CZ96" i="2" s="1"/>
  <c r="P95" i="2"/>
  <c r="P94" i="2"/>
  <c r="Q94" i="2" s="1"/>
  <c r="I94" i="2" s="1"/>
  <c r="P93" i="2"/>
  <c r="Q93" i="2" s="1"/>
  <c r="I93" i="2" s="1"/>
  <c r="J93" i="2"/>
  <c r="R93" i="2" s="1"/>
  <c r="CZ93" i="2" s="1"/>
  <c r="Q92" i="2"/>
  <c r="I92" i="2" s="1"/>
  <c r="P92" i="2"/>
  <c r="J92" i="2" s="1"/>
  <c r="R92" i="2" s="1"/>
  <c r="CZ92" i="2" s="1"/>
  <c r="P91" i="2"/>
  <c r="P90" i="2"/>
  <c r="Q90" i="2" s="1"/>
  <c r="I90" i="2" s="1"/>
  <c r="J90" i="2"/>
  <c r="R90" i="2" s="1"/>
  <c r="CZ90" i="2" s="1"/>
  <c r="P89" i="2"/>
  <c r="P88" i="2"/>
  <c r="Q88" i="2" s="1"/>
  <c r="I88" i="2" s="1"/>
  <c r="P87" i="2"/>
  <c r="P86" i="2"/>
  <c r="J86" i="2" s="1"/>
  <c r="R86" i="2" s="1"/>
  <c r="CZ86" i="2" s="1"/>
  <c r="DA86" i="2" s="1"/>
  <c r="T86" i="2" s="1"/>
  <c r="P85" i="2"/>
  <c r="P84" i="2"/>
  <c r="Q84" i="2" s="1"/>
  <c r="I84" i="2" s="1"/>
  <c r="J84" i="2"/>
  <c r="R84" i="2" s="1"/>
  <c r="CZ84" i="2" s="1"/>
  <c r="U84" i="2" s="1"/>
  <c r="V84" i="2" s="1"/>
  <c r="DB84" i="2" s="1"/>
  <c r="P83" i="2"/>
  <c r="J83" i="2" s="1"/>
  <c r="R83" i="2" s="1"/>
  <c r="CZ83" i="2" s="1"/>
  <c r="P82" i="2"/>
  <c r="J82" i="2" s="1"/>
  <c r="R82" i="2" s="1"/>
  <c r="CZ82" i="2" s="1"/>
  <c r="DA82" i="2" s="1"/>
  <c r="T82" i="2" s="1"/>
  <c r="P81" i="2"/>
  <c r="P80" i="2"/>
  <c r="P79" i="2"/>
  <c r="Q79" i="2" s="1"/>
  <c r="I79" i="2" s="1"/>
  <c r="J79" i="2"/>
  <c r="R79" i="2" s="1"/>
  <c r="CZ79" i="2" s="1"/>
  <c r="DA79" i="2" s="1"/>
  <c r="T79" i="2" s="1"/>
  <c r="P78" i="2"/>
  <c r="Q78" i="2" s="1"/>
  <c r="I78" i="2" s="1"/>
  <c r="Q77" i="2"/>
  <c r="I77" i="2" s="1"/>
  <c r="P77" i="2"/>
  <c r="J77" i="2" s="1"/>
  <c r="R77" i="2" s="1"/>
  <c r="CZ77" i="2" s="1"/>
  <c r="P76" i="2"/>
  <c r="Q75" i="2"/>
  <c r="I75" i="2" s="1"/>
  <c r="P75" i="2"/>
  <c r="J75" i="2" s="1"/>
  <c r="R75" i="2" s="1"/>
  <c r="CZ75" i="2" s="1"/>
  <c r="P74" i="2"/>
  <c r="P73" i="2"/>
  <c r="Q73" i="2" s="1"/>
  <c r="I73" i="2" s="1"/>
  <c r="P72" i="2"/>
  <c r="J72" i="2" s="1"/>
  <c r="R72" i="2" s="1"/>
  <c r="CZ72" i="2" s="1"/>
  <c r="P71" i="2"/>
  <c r="P70" i="2"/>
  <c r="Q70" i="2" s="1"/>
  <c r="I70" i="2" s="1"/>
  <c r="P69" i="2"/>
  <c r="Q69" i="2" s="1"/>
  <c r="I69" i="2" s="1"/>
  <c r="Q68" i="2"/>
  <c r="I68" i="2" s="1"/>
  <c r="P68" i="2"/>
  <c r="J68" i="2" s="1"/>
  <c r="R68" i="2" s="1"/>
  <c r="CZ68" i="2" s="1"/>
  <c r="P67" i="2"/>
  <c r="J67" i="2" s="1"/>
  <c r="R67" i="2" s="1"/>
  <c r="CZ67" i="2" s="1"/>
  <c r="Q66" i="2"/>
  <c r="I66" i="2" s="1"/>
  <c r="P66" i="2"/>
  <c r="J66" i="2" s="1"/>
  <c r="R66" i="2" s="1"/>
  <c r="CZ66" i="2" s="1"/>
  <c r="P65" i="2"/>
  <c r="P64" i="2"/>
  <c r="Q64" i="2" s="1"/>
  <c r="I64" i="2" s="1"/>
  <c r="J64" i="2"/>
  <c r="R64" i="2" s="1"/>
  <c r="CZ64" i="2" s="1"/>
  <c r="DA64" i="2" s="1"/>
  <c r="T64" i="2" s="1"/>
  <c r="P63" i="2"/>
  <c r="Q63" i="2" s="1"/>
  <c r="I63" i="2" s="1"/>
  <c r="P62" i="2"/>
  <c r="P61" i="2"/>
  <c r="P60" i="2"/>
  <c r="Q60" i="2" s="1"/>
  <c r="I60" i="2" s="1"/>
  <c r="P59" i="2"/>
  <c r="Q59" i="2" s="1"/>
  <c r="I59" i="2" s="1"/>
  <c r="J59" i="2"/>
  <c r="R59" i="2" s="1"/>
  <c r="CZ59" i="2" s="1"/>
  <c r="P58" i="2"/>
  <c r="Q58" i="2" s="1"/>
  <c r="I58" i="2" s="1"/>
  <c r="Q57" i="2"/>
  <c r="I57" i="2" s="1"/>
  <c r="P57" i="2"/>
  <c r="J57" i="2" s="1"/>
  <c r="R57" i="2" s="1"/>
  <c r="CZ57" i="2" s="1"/>
  <c r="P56" i="2"/>
  <c r="P55" i="2"/>
  <c r="J55" i="2" s="1"/>
  <c r="R55" i="2" s="1"/>
  <c r="CZ55" i="2" s="1"/>
  <c r="P54" i="2"/>
  <c r="Q54" i="2" s="1"/>
  <c r="I54" i="2" s="1"/>
  <c r="J54" i="2"/>
  <c r="R54" i="2" s="1"/>
  <c r="CZ54" i="2" s="1"/>
  <c r="P53" i="2"/>
  <c r="J53" i="2" s="1"/>
  <c r="R53" i="2" s="1"/>
  <c r="CZ53" i="2" s="1"/>
  <c r="P52" i="2"/>
  <c r="J52" i="2" s="1"/>
  <c r="R52" i="2" s="1"/>
  <c r="CZ52" i="2" s="1"/>
  <c r="P51" i="2"/>
  <c r="Q51" i="2" s="1"/>
  <c r="I51" i="2" s="1"/>
  <c r="P50" i="2"/>
  <c r="Q50" i="2" s="1"/>
  <c r="I50" i="2" s="1"/>
  <c r="P49" i="2"/>
  <c r="Q49" i="2" s="1"/>
  <c r="I49" i="2" s="1"/>
  <c r="P48" i="2"/>
  <c r="J48" i="2" s="1"/>
  <c r="R48" i="2" s="1"/>
  <c r="CZ48" i="2" s="1"/>
  <c r="DA48" i="2" s="1"/>
  <c r="T48" i="2" s="1"/>
  <c r="Q47" i="2"/>
  <c r="P47" i="2"/>
  <c r="J47" i="2" s="1"/>
  <c r="R47" i="2" s="1"/>
  <c r="CZ47" i="2" s="1"/>
  <c r="U47" i="2" s="1"/>
  <c r="V47" i="2" s="1"/>
  <c r="DB47" i="2" s="1"/>
  <c r="DC47" i="2" s="1"/>
  <c r="X47" i="2" s="1"/>
  <c r="I47" i="2"/>
  <c r="P46" i="2"/>
  <c r="Q46" i="2" s="1"/>
  <c r="I46" i="2" s="1"/>
  <c r="J46" i="2"/>
  <c r="R46" i="2" s="1"/>
  <c r="CZ46" i="2" s="1"/>
  <c r="P45" i="2"/>
  <c r="Q45" i="2" s="1"/>
  <c r="I45" i="2" s="1"/>
  <c r="P44" i="2"/>
  <c r="Q44" i="2" s="1"/>
  <c r="I44" i="2" s="1"/>
  <c r="J44" i="2"/>
  <c r="R44" i="2" s="1"/>
  <c r="CZ44" i="2" s="1"/>
  <c r="P43" i="2"/>
  <c r="J43" i="2" s="1"/>
  <c r="R43" i="2" s="1"/>
  <c r="CZ43" i="2" s="1"/>
  <c r="P42" i="2"/>
  <c r="P41" i="2"/>
  <c r="Q41" i="2" s="1"/>
  <c r="I41" i="2" s="1"/>
  <c r="R40" i="2"/>
  <c r="CZ40" i="2" s="1"/>
  <c r="Q40" i="2"/>
  <c r="I40" i="2" s="1"/>
  <c r="P40" i="2"/>
  <c r="J40" i="2"/>
  <c r="P39" i="2"/>
  <c r="P38" i="2"/>
  <c r="J38" i="2" s="1"/>
  <c r="R38" i="2" s="1"/>
  <c r="CZ38" i="2" s="1"/>
  <c r="P37" i="2"/>
  <c r="J37" i="2" s="1"/>
  <c r="R37" i="2" s="1"/>
  <c r="CZ37" i="2" s="1"/>
  <c r="Q36" i="2"/>
  <c r="I36" i="2" s="1"/>
  <c r="P36" i="2"/>
  <c r="J36" i="2"/>
  <c r="R36" i="2" s="1"/>
  <c r="CZ36" i="2" s="1"/>
  <c r="DA36" i="2" s="1"/>
  <c r="T36" i="2" s="1"/>
  <c r="P35" i="2"/>
  <c r="Q35" i="2" s="1"/>
  <c r="I35" i="2" s="1"/>
  <c r="P34" i="2"/>
  <c r="Q34" i="2" s="1"/>
  <c r="I34" i="2" s="1"/>
  <c r="P33" i="2"/>
  <c r="Q33" i="2" s="1"/>
  <c r="I33" i="2" s="1"/>
  <c r="P32" i="2"/>
  <c r="P31" i="2"/>
  <c r="J31" i="2" s="1"/>
  <c r="R31" i="2" s="1"/>
  <c r="CZ31" i="2" s="1"/>
  <c r="Q30" i="2"/>
  <c r="I30" i="2" s="1"/>
  <c r="P30" i="2"/>
  <c r="J30" i="2"/>
  <c r="R30" i="2" s="1"/>
  <c r="CZ30" i="2" s="1"/>
  <c r="P29" i="2"/>
  <c r="P28" i="2"/>
  <c r="J28" i="2" s="1"/>
  <c r="R28" i="2" s="1"/>
  <c r="CZ28" i="2" s="1"/>
  <c r="DA28" i="2" s="1"/>
  <c r="T28" i="2" s="1"/>
  <c r="P27" i="2"/>
  <c r="J27" i="2" s="1"/>
  <c r="R27" i="2" s="1"/>
  <c r="CZ27" i="2" s="1"/>
  <c r="P26" i="2"/>
  <c r="Q26" i="2" s="1"/>
  <c r="I26" i="2" s="1"/>
  <c r="J26" i="2"/>
  <c r="R26" i="2" s="1"/>
  <c r="CZ26" i="2" s="1"/>
  <c r="P25" i="2"/>
  <c r="Q25" i="2" s="1"/>
  <c r="I25" i="2" s="1"/>
  <c r="P24" i="2"/>
  <c r="J24" i="2" s="1"/>
  <c r="R24" i="2" s="1"/>
  <c r="CZ24" i="2" s="1"/>
  <c r="U24" i="2" s="1"/>
  <c r="V24" i="2" s="1"/>
  <c r="DB24" i="2" s="1"/>
  <c r="P23" i="2"/>
  <c r="J23" i="2" s="1"/>
  <c r="R23" i="2" s="1"/>
  <c r="CZ23" i="2" s="1"/>
  <c r="P22" i="2"/>
  <c r="Q22" i="2" s="1"/>
  <c r="I22" i="2" s="1"/>
  <c r="J22" i="2"/>
  <c r="R22" i="2" s="1"/>
  <c r="CZ22" i="2" s="1"/>
  <c r="U22" i="2" s="1"/>
  <c r="V22" i="2" s="1"/>
  <c r="DB22" i="2" s="1"/>
  <c r="P21" i="2"/>
  <c r="Q21" i="2" s="1"/>
  <c r="I21" i="2" s="1"/>
  <c r="P20" i="2"/>
  <c r="Q20" i="2" s="1"/>
  <c r="I20" i="2" s="1"/>
  <c r="Q19" i="2"/>
  <c r="I19" i="2" s="1"/>
  <c r="P19" i="2"/>
  <c r="J19" i="2"/>
  <c r="R19" i="2" s="1"/>
  <c r="CZ19" i="2" s="1"/>
  <c r="P18" i="2"/>
  <c r="J18" i="2" s="1"/>
  <c r="R18" i="2" s="1"/>
  <c r="CZ18" i="2" s="1"/>
  <c r="Q17" i="2"/>
  <c r="I17" i="2" s="1"/>
  <c r="P17" i="2"/>
  <c r="J17" i="2"/>
  <c r="R17" i="2" s="1"/>
  <c r="CZ17" i="2" s="1"/>
  <c r="P16" i="2"/>
  <c r="Q16" i="2" s="1"/>
  <c r="I16" i="2" s="1"/>
  <c r="Q15" i="2"/>
  <c r="I15" i="2" s="1"/>
  <c r="P15" i="2"/>
  <c r="J15" i="2"/>
  <c r="R15" i="2" s="1"/>
  <c r="CZ15" i="2" s="1"/>
  <c r="P14" i="2"/>
  <c r="Q14" i="2" s="1"/>
  <c r="I14" i="2" s="1"/>
  <c r="P13" i="2"/>
  <c r="Q13" i="2" s="1"/>
  <c r="I13" i="2" s="1"/>
  <c r="P12" i="2"/>
  <c r="J12" i="2" s="1"/>
  <c r="R12" i="2" s="1"/>
  <c r="CZ12" i="2" s="1"/>
  <c r="P11" i="2"/>
  <c r="Q11" i="2" s="1"/>
  <c r="I11" i="2" s="1"/>
  <c r="J11" i="2"/>
  <c r="R11" i="2" s="1"/>
  <c r="CZ11" i="2" s="1"/>
  <c r="P10" i="2"/>
  <c r="Q10" i="2" s="1"/>
  <c r="I10" i="2" s="1"/>
  <c r="J10" i="2"/>
  <c r="R10" i="2" s="1"/>
  <c r="CZ10" i="2" s="1"/>
  <c r="P9" i="2"/>
  <c r="Q9" i="2" s="1"/>
  <c r="I9" i="2" s="1"/>
  <c r="P8" i="2"/>
  <c r="Q8" i="2" s="1"/>
  <c r="I8" i="2" s="1"/>
  <c r="P7" i="2"/>
  <c r="Q7" i="2" s="1"/>
  <c r="I7" i="2" s="1"/>
  <c r="P6" i="2"/>
  <c r="J6" i="2" s="1"/>
  <c r="R6" i="2" s="1"/>
  <c r="CZ6" i="2" s="1"/>
  <c r="Q5" i="2"/>
  <c r="I5" i="2" s="1"/>
  <c r="P5" i="2"/>
  <c r="J5" i="2"/>
  <c r="R5" i="2" s="1"/>
  <c r="CZ5" i="2" s="1"/>
  <c r="P4" i="2"/>
  <c r="Q4" i="2" s="1"/>
  <c r="I4" i="2" s="1"/>
  <c r="P3" i="2"/>
  <c r="Q3" i="2" s="1"/>
  <c r="I3" i="2" s="1"/>
  <c r="J3" i="2"/>
  <c r="R3" i="2" s="1"/>
  <c r="CZ3" i="2" s="1"/>
  <c r="P2" i="2"/>
  <c r="Q2" i="2" s="1"/>
  <c r="I2" i="2" s="1"/>
  <c r="U79" i="2" l="1"/>
  <c r="V79" i="2" s="1"/>
  <c r="DB79" i="2" s="1"/>
  <c r="U86" i="2"/>
  <c r="V86" i="2" s="1"/>
  <c r="DB86" i="2" s="1"/>
  <c r="DC86" i="2" s="1"/>
  <c r="X86" i="2" s="1"/>
  <c r="U120" i="2"/>
  <c r="V120" i="2" s="1"/>
  <c r="DB120" i="2" s="1"/>
  <c r="U130" i="2"/>
  <c r="V130" i="2" s="1"/>
  <c r="DB130" i="2" s="1"/>
  <c r="DA130" i="2"/>
  <c r="T130" i="2" s="1"/>
  <c r="U107" i="2"/>
  <c r="V107" i="2" s="1"/>
  <c r="DB107" i="2" s="1"/>
  <c r="DA107" i="2"/>
  <c r="T107" i="2" s="1"/>
  <c r="U67" i="2"/>
  <c r="V67" i="2" s="1"/>
  <c r="DB67" i="2" s="1"/>
  <c r="DC67" i="2" s="1"/>
  <c r="X67" i="2" s="1"/>
  <c r="DA67" i="2"/>
  <c r="T67" i="2" s="1"/>
  <c r="U55" i="2"/>
  <c r="V55" i="2" s="1"/>
  <c r="DB55" i="2" s="1"/>
  <c r="DC55" i="2" s="1"/>
  <c r="X55" i="2" s="1"/>
  <c r="DA55" i="2"/>
  <c r="T55" i="2" s="1"/>
  <c r="U75" i="2"/>
  <c r="V75" i="2" s="1"/>
  <c r="DB75" i="2" s="1"/>
  <c r="DA75" i="2"/>
  <c r="T75" i="2" s="1"/>
  <c r="DA142" i="2"/>
  <c r="T142" i="2" s="1"/>
  <c r="U142" i="2"/>
  <c r="V142" i="2" s="1"/>
  <c r="DB142" i="2" s="1"/>
  <c r="U121" i="2"/>
  <c r="V121" i="2" s="1"/>
  <c r="DB121" i="2" s="1"/>
  <c r="DA121" i="2"/>
  <c r="T121" i="2" s="1"/>
  <c r="Q55" i="2"/>
  <c r="I55" i="2" s="1"/>
  <c r="Q142" i="2"/>
  <c r="I142" i="2" s="1"/>
  <c r="Q83" i="2"/>
  <c r="I83" i="2" s="1"/>
  <c r="Q98" i="2"/>
  <c r="I98" i="2" s="1"/>
  <c r="Q18" i="2"/>
  <c r="I18" i="2" s="1"/>
  <c r="Q48" i="2"/>
  <c r="I48" i="2" s="1"/>
  <c r="J4" i="2"/>
  <c r="R4" i="2" s="1"/>
  <c r="CZ4" i="2" s="1"/>
  <c r="J7" i="2"/>
  <c r="R7" i="2" s="1"/>
  <c r="CZ7" i="2" s="1"/>
  <c r="J21" i="2"/>
  <c r="R21" i="2" s="1"/>
  <c r="CZ21" i="2" s="1"/>
  <c r="U21" i="2" s="1"/>
  <c r="V21" i="2" s="1"/>
  <c r="DB21" i="2" s="1"/>
  <c r="Y21" i="2" s="1"/>
  <c r="Z21" i="2" s="1"/>
  <c r="DD21" i="2" s="1"/>
  <c r="Q28" i="2"/>
  <c r="I28" i="2" s="1"/>
  <c r="Q37" i="2"/>
  <c r="I37" i="2" s="1"/>
  <c r="J41" i="2"/>
  <c r="R41" i="2" s="1"/>
  <c r="CZ41" i="2" s="1"/>
  <c r="U48" i="2"/>
  <c r="V48" i="2" s="1"/>
  <c r="DB48" i="2" s="1"/>
  <c r="Y48" i="2" s="1"/>
  <c r="Z48" i="2" s="1"/>
  <c r="DD48" i="2" s="1"/>
  <c r="Q52" i="2"/>
  <c r="I52" i="2" s="1"/>
  <c r="J78" i="2"/>
  <c r="R78" i="2" s="1"/>
  <c r="CZ78" i="2" s="1"/>
  <c r="Q107" i="2"/>
  <c r="I107" i="2" s="1"/>
  <c r="J139" i="2"/>
  <c r="R139" i="2" s="1"/>
  <c r="CZ139" i="2" s="1"/>
  <c r="Q23" i="2"/>
  <c r="I23" i="2" s="1"/>
  <c r="U127" i="2"/>
  <c r="V127" i="2" s="1"/>
  <c r="DB127" i="2" s="1"/>
  <c r="DA135" i="2"/>
  <c r="T135" i="2" s="1"/>
  <c r="Q31" i="2"/>
  <c r="I31" i="2" s="1"/>
  <c r="J8" i="2"/>
  <c r="R8" i="2" s="1"/>
  <c r="CZ8" i="2" s="1"/>
  <c r="DA8" i="2" s="1"/>
  <c r="T8" i="2" s="1"/>
  <c r="J16" i="2"/>
  <c r="R16" i="2" s="1"/>
  <c r="CZ16" i="2" s="1"/>
  <c r="DA16" i="2" s="1"/>
  <c r="T16" i="2" s="1"/>
  <c r="J25" i="2"/>
  <c r="R25" i="2" s="1"/>
  <c r="CZ25" i="2" s="1"/>
  <c r="DA25" i="2" s="1"/>
  <c r="T25" i="2" s="1"/>
  <c r="J35" i="2"/>
  <c r="R35" i="2" s="1"/>
  <c r="CZ35" i="2" s="1"/>
  <c r="Q72" i="2"/>
  <c r="I72" i="2" s="1"/>
  <c r="Q82" i="2"/>
  <c r="I82" i="2" s="1"/>
  <c r="J94" i="2"/>
  <c r="R94" i="2" s="1"/>
  <c r="CZ94" i="2" s="1"/>
  <c r="J100" i="2"/>
  <c r="R100" i="2" s="1"/>
  <c r="CZ100" i="2" s="1"/>
  <c r="J115" i="2"/>
  <c r="R115" i="2" s="1"/>
  <c r="CZ115" i="2" s="1"/>
  <c r="J119" i="2"/>
  <c r="R119" i="2" s="1"/>
  <c r="CZ119" i="2" s="1"/>
  <c r="J149" i="2"/>
  <c r="R149" i="2" s="1"/>
  <c r="CZ149" i="2" s="1"/>
  <c r="J9" i="2"/>
  <c r="R9" i="2" s="1"/>
  <c r="CZ9" i="2" s="1"/>
  <c r="DA9" i="2" s="1"/>
  <c r="T9" i="2" s="1"/>
  <c r="J13" i="2"/>
  <c r="R13" i="2" s="1"/>
  <c r="CZ13" i="2" s="1"/>
  <c r="U13" i="2" s="1"/>
  <c r="V13" i="2" s="1"/>
  <c r="DB13" i="2" s="1"/>
  <c r="J20" i="2"/>
  <c r="R20" i="2" s="1"/>
  <c r="CZ20" i="2" s="1"/>
  <c r="J50" i="2"/>
  <c r="R50" i="2" s="1"/>
  <c r="CZ50" i="2" s="1"/>
  <c r="U50" i="2" s="1"/>
  <c r="V50" i="2" s="1"/>
  <c r="DB50" i="2" s="1"/>
  <c r="Q53" i="2"/>
  <c r="I53" i="2" s="1"/>
  <c r="J58" i="2"/>
  <c r="R58" i="2" s="1"/>
  <c r="CZ58" i="2" s="1"/>
  <c r="J63" i="2"/>
  <c r="R63" i="2" s="1"/>
  <c r="CZ63" i="2" s="1"/>
  <c r="J73" i="2"/>
  <c r="R73" i="2" s="1"/>
  <c r="CZ73" i="2" s="1"/>
  <c r="U82" i="2"/>
  <c r="V82" i="2" s="1"/>
  <c r="DB82" i="2" s="1"/>
  <c r="DC82" i="2" s="1"/>
  <c r="X82" i="2" s="1"/>
  <c r="J137" i="2"/>
  <c r="R137" i="2" s="1"/>
  <c r="CZ137" i="2" s="1"/>
  <c r="J140" i="2"/>
  <c r="R140" i="2" s="1"/>
  <c r="CZ140" i="2" s="1"/>
  <c r="Q130" i="2"/>
  <c r="I130" i="2" s="1"/>
  <c r="Q6" i="2"/>
  <c r="I6" i="2" s="1"/>
  <c r="Q145" i="2"/>
  <c r="I145" i="2" s="1"/>
  <c r="J14" i="2"/>
  <c r="R14" i="2" s="1"/>
  <c r="CZ14" i="2" s="1"/>
  <c r="DA14" i="2" s="1"/>
  <c r="T14" i="2" s="1"/>
  <c r="Q67" i="2"/>
  <c r="I67" i="2" s="1"/>
  <c r="J69" i="2"/>
  <c r="R69" i="2" s="1"/>
  <c r="CZ69" i="2" s="1"/>
  <c r="Q86" i="2"/>
  <c r="I86" i="2" s="1"/>
  <c r="Q105" i="2"/>
  <c r="I105" i="2" s="1"/>
  <c r="J113" i="2"/>
  <c r="R113" i="2" s="1"/>
  <c r="CZ113" i="2" s="1"/>
  <c r="J2" i="2"/>
  <c r="CZ2" i="2" s="1"/>
  <c r="U2" i="2" s="1"/>
  <c r="V2" i="2" s="1"/>
  <c r="DB2" i="2" s="1"/>
  <c r="U12" i="2"/>
  <c r="V12" i="2" s="1"/>
  <c r="DB12" i="2" s="1"/>
  <c r="DA12" i="2"/>
  <c r="T12" i="2" s="1"/>
  <c r="DA13" i="2"/>
  <c r="T13" i="2" s="1"/>
  <c r="U14" i="2"/>
  <c r="V14" i="2" s="1"/>
  <c r="DB14" i="2" s="1"/>
  <c r="U31" i="2"/>
  <c r="V31" i="2" s="1"/>
  <c r="DB31" i="2" s="1"/>
  <c r="DA31" i="2"/>
  <c r="T31" i="2" s="1"/>
  <c r="U26" i="2"/>
  <c r="V26" i="2" s="1"/>
  <c r="DB26" i="2" s="1"/>
  <c r="DA26" i="2"/>
  <c r="T26" i="2" s="1"/>
  <c r="DC22" i="2"/>
  <c r="X22" i="2" s="1"/>
  <c r="Y22" i="2"/>
  <c r="Z22" i="2" s="1"/>
  <c r="DD22" i="2" s="1"/>
  <c r="U54" i="2"/>
  <c r="V54" i="2" s="1"/>
  <c r="DB54" i="2" s="1"/>
  <c r="DA54" i="2"/>
  <c r="T54" i="2" s="1"/>
  <c r="DA3" i="2"/>
  <c r="T3" i="2" s="1"/>
  <c r="U3" i="2"/>
  <c r="V3" i="2" s="1"/>
  <c r="DB3" i="2" s="1"/>
  <c r="U10" i="2"/>
  <c r="V10" i="2" s="1"/>
  <c r="DB10" i="2" s="1"/>
  <c r="DA10" i="2"/>
  <c r="T10" i="2" s="1"/>
  <c r="U27" i="2"/>
  <c r="V27" i="2" s="1"/>
  <c r="DB27" i="2" s="1"/>
  <c r="DA27" i="2"/>
  <c r="T27" i="2" s="1"/>
  <c r="DA40" i="2"/>
  <c r="T40" i="2" s="1"/>
  <c r="U40" i="2"/>
  <c r="V40" i="2" s="1"/>
  <c r="DB40" i="2" s="1"/>
  <c r="DA44" i="2"/>
  <c r="T44" i="2" s="1"/>
  <c r="U44" i="2"/>
  <c r="V44" i="2" s="1"/>
  <c r="DB44" i="2" s="1"/>
  <c r="DA6" i="2"/>
  <c r="T6" i="2" s="1"/>
  <c r="U6" i="2"/>
  <c r="V6" i="2" s="1"/>
  <c r="DB6" i="2" s="1"/>
  <c r="DA15" i="2"/>
  <c r="T15" i="2" s="1"/>
  <c r="U15" i="2"/>
  <c r="V15" i="2" s="1"/>
  <c r="DB15" i="2" s="1"/>
  <c r="DA23" i="2"/>
  <c r="T23" i="2" s="1"/>
  <c r="U23" i="2"/>
  <c r="V23" i="2" s="1"/>
  <c r="DB23" i="2" s="1"/>
  <c r="U11" i="2"/>
  <c r="V11" i="2" s="1"/>
  <c r="DB11" i="2" s="1"/>
  <c r="DA11" i="2"/>
  <c r="T11" i="2" s="1"/>
  <c r="U19" i="2"/>
  <c r="V19" i="2" s="1"/>
  <c r="DB19" i="2" s="1"/>
  <c r="DA19" i="2"/>
  <c r="T19" i="2" s="1"/>
  <c r="DA37" i="2"/>
  <c r="T37" i="2" s="1"/>
  <c r="U37" i="2"/>
  <c r="V37" i="2" s="1"/>
  <c r="DB37" i="2" s="1"/>
  <c r="U4" i="2"/>
  <c r="V4" i="2" s="1"/>
  <c r="DB4" i="2" s="1"/>
  <c r="DA4" i="2"/>
  <c r="T4" i="2" s="1"/>
  <c r="DA7" i="2"/>
  <c r="T7" i="2" s="1"/>
  <c r="U7" i="2"/>
  <c r="V7" i="2" s="1"/>
  <c r="DB7" i="2" s="1"/>
  <c r="DA18" i="2"/>
  <c r="T18" i="2" s="1"/>
  <c r="U18" i="2"/>
  <c r="V18" i="2" s="1"/>
  <c r="DB18" i="2" s="1"/>
  <c r="U8" i="2"/>
  <c r="V8" i="2" s="1"/>
  <c r="DB8" i="2" s="1"/>
  <c r="U25" i="2"/>
  <c r="V25" i="2" s="1"/>
  <c r="DB25" i="2" s="1"/>
  <c r="DA35" i="2"/>
  <c r="T35" i="2" s="1"/>
  <c r="U35" i="2"/>
  <c r="V35" i="2" s="1"/>
  <c r="DB35" i="2" s="1"/>
  <c r="DA38" i="2"/>
  <c r="T38" i="2" s="1"/>
  <c r="U38" i="2"/>
  <c r="V38" i="2" s="1"/>
  <c r="DB38" i="2" s="1"/>
  <c r="DA17" i="2"/>
  <c r="T17" i="2" s="1"/>
  <c r="U17" i="2"/>
  <c r="V17" i="2" s="1"/>
  <c r="DB17" i="2" s="1"/>
  <c r="DC21" i="2"/>
  <c r="X21" i="2" s="1"/>
  <c r="DC24" i="2"/>
  <c r="X24" i="2" s="1"/>
  <c r="Y24" i="2"/>
  <c r="Z24" i="2" s="1"/>
  <c r="DD24" i="2" s="1"/>
  <c r="DA5" i="2"/>
  <c r="T5" i="2" s="1"/>
  <c r="U5" i="2"/>
  <c r="V5" i="2" s="1"/>
  <c r="DB5" i="2" s="1"/>
  <c r="DA30" i="2"/>
  <c r="T30" i="2" s="1"/>
  <c r="U30" i="2"/>
  <c r="V30" i="2" s="1"/>
  <c r="DB30" i="2" s="1"/>
  <c r="DA21" i="2"/>
  <c r="T21" i="2" s="1"/>
  <c r="U28" i="2"/>
  <c r="V28" i="2" s="1"/>
  <c r="DB28" i="2" s="1"/>
  <c r="J33" i="2"/>
  <c r="R33" i="2" s="1"/>
  <c r="CZ33" i="2" s="1"/>
  <c r="DA47" i="2"/>
  <c r="T47" i="2" s="1"/>
  <c r="J65" i="2"/>
  <c r="R65" i="2" s="1"/>
  <c r="CZ65" i="2" s="1"/>
  <c r="Q65" i="2"/>
  <c r="I65" i="2" s="1"/>
  <c r="Q29" i="2"/>
  <c r="I29" i="2" s="1"/>
  <c r="J29" i="2"/>
  <c r="R29" i="2" s="1"/>
  <c r="CZ29" i="2" s="1"/>
  <c r="J42" i="2"/>
  <c r="R42" i="2" s="1"/>
  <c r="CZ42" i="2" s="1"/>
  <c r="Q42" i="2"/>
  <c r="I42" i="2" s="1"/>
  <c r="J45" i="2"/>
  <c r="R45" i="2" s="1"/>
  <c r="CZ45" i="2" s="1"/>
  <c r="DA58" i="2"/>
  <c r="T58" i="2" s="1"/>
  <c r="U58" i="2"/>
  <c r="V58" i="2" s="1"/>
  <c r="DB58" i="2" s="1"/>
  <c r="DA22" i="2"/>
  <c r="T22" i="2" s="1"/>
  <c r="Q27" i="2"/>
  <c r="I27" i="2" s="1"/>
  <c r="Q38" i="2"/>
  <c r="I38" i="2" s="1"/>
  <c r="Q56" i="2"/>
  <c r="I56" i="2" s="1"/>
  <c r="J56" i="2"/>
  <c r="R56" i="2" s="1"/>
  <c r="CZ56" i="2" s="1"/>
  <c r="DA24" i="2"/>
  <c r="T24" i="2" s="1"/>
  <c r="J34" i="2"/>
  <c r="R34" i="2" s="1"/>
  <c r="CZ34" i="2" s="1"/>
  <c r="U66" i="2"/>
  <c r="V66" i="2" s="1"/>
  <c r="DB66" i="2" s="1"/>
  <c r="DA66" i="2"/>
  <c r="T66" i="2" s="1"/>
  <c r="U52" i="2"/>
  <c r="V52" i="2" s="1"/>
  <c r="DB52" i="2" s="1"/>
  <c r="DA52" i="2"/>
  <c r="T52" i="2" s="1"/>
  <c r="U46" i="2"/>
  <c r="V46" i="2" s="1"/>
  <c r="DB46" i="2" s="1"/>
  <c r="DA46" i="2"/>
  <c r="T46" i="2" s="1"/>
  <c r="DA43" i="2"/>
  <c r="T43" i="2" s="1"/>
  <c r="U43" i="2"/>
  <c r="V43" i="2" s="1"/>
  <c r="DB43" i="2" s="1"/>
  <c r="Q12" i="2"/>
  <c r="I12" i="2" s="1"/>
  <c r="Q24" i="2"/>
  <c r="I24" i="2" s="1"/>
  <c r="J32" i="2"/>
  <c r="R32" i="2" s="1"/>
  <c r="CZ32" i="2" s="1"/>
  <c r="Q32" i="2"/>
  <c r="I32" i="2" s="1"/>
  <c r="U36" i="2"/>
  <c r="V36" i="2" s="1"/>
  <c r="DB36" i="2" s="1"/>
  <c r="Q39" i="2"/>
  <c r="I39" i="2" s="1"/>
  <c r="J39" i="2"/>
  <c r="R39" i="2" s="1"/>
  <c r="CZ39" i="2" s="1"/>
  <c r="Q43" i="2"/>
  <c r="I43" i="2" s="1"/>
  <c r="J51" i="2"/>
  <c r="R51" i="2" s="1"/>
  <c r="CZ51" i="2" s="1"/>
  <c r="DA57" i="2"/>
  <c r="T57" i="2" s="1"/>
  <c r="U57" i="2"/>
  <c r="V57" i="2" s="1"/>
  <c r="DB57" i="2" s="1"/>
  <c r="DC75" i="2"/>
  <c r="X75" i="2" s="1"/>
  <c r="Y75" i="2"/>
  <c r="Z75" i="2" s="1"/>
  <c r="DD75" i="2" s="1"/>
  <c r="Y47" i="2"/>
  <c r="Z47" i="2" s="1"/>
  <c r="DD47" i="2" s="1"/>
  <c r="DA53" i="2"/>
  <c r="T53" i="2" s="1"/>
  <c r="U53" i="2"/>
  <c r="V53" i="2" s="1"/>
  <c r="DB53" i="2" s="1"/>
  <c r="DA69" i="2"/>
  <c r="T69" i="2" s="1"/>
  <c r="U69" i="2"/>
  <c r="V69" i="2" s="1"/>
  <c r="DB69" i="2" s="1"/>
  <c r="U59" i="2"/>
  <c r="V59" i="2" s="1"/>
  <c r="DB59" i="2" s="1"/>
  <c r="DA59" i="2"/>
  <c r="T59" i="2" s="1"/>
  <c r="Q91" i="2"/>
  <c r="I91" i="2" s="1"/>
  <c r="J91" i="2"/>
  <c r="R91" i="2" s="1"/>
  <c r="CZ91" i="2" s="1"/>
  <c r="DA93" i="2"/>
  <c r="T93" i="2" s="1"/>
  <c r="U93" i="2"/>
  <c r="V93" i="2" s="1"/>
  <c r="DB93" i="2" s="1"/>
  <c r="J62" i="2"/>
  <c r="R62" i="2" s="1"/>
  <c r="CZ62" i="2" s="1"/>
  <c r="Q62" i="2"/>
  <c r="I62" i="2" s="1"/>
  <c r="U64" i="2"/>
  <c r="V64" i="2" s="1"/>
  <c r="DB64" i="2" s="1"/>
  <c r="DA72" i="2"/>
  <c r="T72" i="2" s="1"/>
  <c r="U72" i="2"/>
  <c r="V72" i="2" s="1"/>
  <c r="DB72" i="2" s="1"/>
  <c r="Y79" i="2"/>
  <c r="Z79" i="2" s="1"/>
  <c r="DD79" i="2" s="1"/>
  <c r="DC79" i="2"/>
  <c r="X79" i="2" s="1"/>
  <c r="J70" i="2"/>
  <c r="R70" i="2" s="1"/>
  <c r="CZ70" i="2" s="1"/>
  <c r="Q89" i="2"/>
  <c r="I89" i="2" s="1"/>
  <c r="J89" i="2"/>
  <c r="R89" i="2" s="1"/>
  <c r="CZ89" i="2" s="1"/>
  <c r="DA68" i="2"/>
  <c r="T68" i="2" s="1"/>
  <c r="U68" i="2"/>
  <c r="V68" i="2" s="1"/>
  <c r="DB68" i="2" s="1"/>
  <c r="Y84" i="2"/>
  <c r="Z84" i="2" s="1"/>
  <c r="DD84" i="2" s="1"/>
  <c r="DC84" i="2"/>
  <c r="X84" i="2" s="1"/>
  <c r="Y86" i="2"/>
  <c r="Z86" i="2" s="1"/>
  <c r="DD86" i="2" s="1"/>
  <c r="DA98" i="2"/>
  <c r="T98" i="2" s="1"/>
  <c r="U98" i="2"/>
  <c r="V98" i="2" s="1"/>
  <c r="DB98" i="2" s="1"/>
  <c r="J49" i="2"/>
  <c r="R49" i="2" s="1"/>
  <c r="CZ49" i="2" s="1"/>
  <c r="J61" i="2"/>
  <c r="R61" i="2" s="1"/>
  <c r="CZ61" i="2" s="1"/>
  <c r="Q61" i="2"/>
  <c r="I61" i="2" s="1"/>
  <c r="Y67" i="2"/>
  <c r="Z67" i="2" s="1"/>
  <c r="DD67" i="2" s="1"/>
  <c r="J76" i="2"/>
  <c r="R76" i="2" s="1"/>
  <c r="CZ76" i="2" s="1"/>
  <c r="Q76" i="2"/>
  <c r="I76" i="2" s="1"/>
  <c r="DA78" i="2"/>
  <c r="T78" i="2" s="1"/>
  <c r="U78" i="2"/>
  <c r="V78" i="2" s="1"/>
  <c r="DB78" i="2" s="1"/>
  <c r="DA92" i="2"/>
  <c r="T92" i="2" s="1"/>
  <c r="U92" i="2"/>
  <c r="V92" i="2" s="1"/>
  <c r="DB92" i="2" s="1"/>
  <c r="DA77" i="2"/>
  <c r="T77" i="2" s="1"/>
  <c r="U77" i="2"/>
  <c r="V77" i="2" s="1"/>
  <c r="DB77" i="2" s="1"/>
  <c r="U100" i="2"/>
  <c r="V100" i="2" s="1"/>
  <c r="DB100" i="2" s="1"/>
  <c r="DA100" i="2"/>
  <c r="T100" i="2" s="1"/>
  <c r="J60" i="2"/>
  <c r="R60" i="2" s="1"/>
  <c r="CZ60" i="2" s="1"/>
  <c r="J95" i="2"/>
  <c r="R95" i="2" s="1"/>
  <c r="CZ95" i="2" s="1"/>
  <c r="Q95" i="2"/>
  <c r="I95" i="2" s="1"/>
  <c r="J71" i="2"/>
  <c r="R71" i="2" s="1"/>
  <c r="CZ71" i="2" s="1"/>
  <c r="Q71" i="2"/>
  <c r="I71" i="2" s="1"/>
  <c r="DA104" i="2"/>
  <c r="T104" i="2" s="1"/>
  <c r="U104" i="2"/>
  <c r="V104" i="2" s="1"/>
  <c r="DB104" i="2" s="1"/>
  <c r="Q74" i="2"/>
  <c r="I74" i="2" s="1"/>
  <c r="J74" i="2"/>
  <c r="R74" i="2" s="1"/>
  <c r="CZ74" i="2" s="1"/>
  <c r="J80" i="2"/>
  <c r="R80" i="2" s="1"/>
  <c r="CZ80" i="2" s="1"/>
  <c r="Q80" i="2"/>
  <c r="I80" i="2" s="1"/>
  <c r="U110" i="2"/>
  <c r="V110" i="2" s="1"/>
  <c r="DB110" i="2" s="1"/>
  <c r="DA110" i="2"/>
  <c r="T110" i="2" s="1"/>
  <c r="DA83" i="2"/>
  <c r="T83" i="2" s="1"/>
  <c r="U83" i="2"/>
  <c r="V83" i="2" s="1"/>
  <c r="DB83" i="2" s="1"/>
  <c r="J87" i="2"/>
  <c r="R87" i="2" s="1"/>
  <c r="CZ87" i="2" s="1"/>
  <c r="Q87" i="2"/>
  <c r="I87" i="2" s="1"/>
  <c r="J111" i="2"/>
  <c r="R111" i="2" s="1"/>
  <c r="CZ111" i="2" s="1"/>
  <c r="Q111" i="2"/>
  <c r="I111" i="2" s="1"/>
  <c r="DA114" i="2"/>
  <c r="T114" i="2" s="1"/>
  <c r="U114" i="2"/>
  <c r="V114" i="2" s="1"/>
  <c r="DB114" i="2" s="1"/>
  <c r="Q109" i="2"/>
  <c r="I109" i="2" s="1"/>
  <c r="J109" i="2"/>
  <c r="R109" i="2" s="1"/>
  <c r="CZ109" i="2" s="1"/>
  <c r="DA103" i="2"/>
  <c r="T103" i="2" s="1"/>
  <c r="U103" i="2"/>
  <c r="V103" i="2" s="1"/>
  <c r="DB103" i="2" s="1"/>
  <c r="U105" i="2"/>
  <c r="V105" i="2" s="1"/>
  <c r="DB105" i="2" s="1"/>
  <c r="J112" i="2"/>
  <c r="R112" i="2" s="1"/>
  <c r="CZ112" i="2" s="1"/>
  <c r="Q112" i="2"/>
  <c r="I112" i="2" s="1"/>
  <c r="DC120" i="2"/>
  <c r="X120" i="2" s="1"/>
  <c r="Y120" i="2"/>
  <c r="Z120" i="2" s="1"/>
  <c r="DD120" i="2" s="1"/>
  <c r="DA73" i="2"/>
  <c r="T73" i="2" s="1"/>
  <c r="U73" i="2"/>
  <c r="V73" i="2" s="1"/>
  <c r="DB73" i="2" s="1"/>
  <c r="DA96" i="2"/>
  <c r="T96" i="2" s="1"/>
  <c r="U96" i="2"/>
  <c r="V96" i="2" s="1"/>
  <c r="DB96" i="2" s="1"/>
  <c r="DA129" i="2"/>
  <c r="T129" i="2" s="1"/>
  <c r="U129" i="2"/>
  <c r="V129" i="2" s="1"/>
  <c r="DB129" i="2" s="1"/>
  <c r="DA63" i="2"/>
  <c r="T63" i="2" s="1"/>
  <c r="U63" i="2"/>
  <c r="V63" i="2" s="1"/>
  <c r="DB63" i="2" s="1"/>
  <c r="DA90" i="2"/>
  <c r="T90" i="2" s="1"/>
  <c r="U90" i="2"/>
  <c r="V90" i="2" s="1"/>
  <c r="DB90" i="2" s="1"/>
  <c r="Q99" i="2"/>
  <c r="I99" i="2" s="1"/>
  <c r="J99" i="2"/>
  <c r="R99" i="2" s="1"/>
  <c r="CZ99" i="2" s="1"/>
  <c r="DA133" i="2"/>
  <c r="T133" i="2" s="1"/>
  <c r="U133" i="2"/>
  <c r="V133" i="2" s="1"/>
  <c r="DB133" i="2" s="1"/>
  <c r="DA84" i="2"/>
  <c r="T84" i="2" s="1"/>
  <c r="J97" i="2"/>
  <c r="R97" i="2" s="1"/>
  <c r="CZ97" i="2" s="1"/>
  <c r="Q97" i="2"/>
  <c r="I97" i="2" s="1"/>
  <c r="DA101" i="2"/>
  <c r="T101" i="2" s="1"/>
  <c r="U101" i="2"/>
  <c r="V101" i="2" s="1"/>
  <c r="DB101" i="2" s="1"/>
  <c r="DC107" i="2"/>
  <c r="X107" i="2" s="1"/>
  <c r="Y107" i="2"/>
  <c r="Z107" i="2" s="1"/>
  <c r="DD107" i="2" s="1"/>
  <c r="Y121" i="2"/>
  <c r="Z121" i="2" s="1"/>
  <c r="DD121" i="2" s="1"/>
  <c r="DC121" i="2"/>
  <c r="X121" i="2" s="1"/>
  <c r="DA113" i="2"/>
  <c r="T113" i="2" s="1"/>
  <c r="U113" i="2"/>
  <c r="V113" i="2" s="1"/>
  <c r="DB113" i="2" s="1"/>
  <c r="U119" i="2"/>
  <c r="V119" i="2" s="1"/>
  <c r="DB119" i="2" s="1"/>
  <c r="DA119" i="2"/>
  <c r="T119" i="2" s="1"/>
  <c r="J102" i="2"/>
  <c r="R102" i="2" s="1"/>
  <c r="CZ102" i="2" s="1"/>
  <c r="Q102" i="2"/>
  <c r="I102" i="2" s="1"/>
  <c r="J106" i="2"/>
  <c r="R106" i="2" s="1"/>
  <c r="CZ106" i="2" s="1"/>
  <c r="Q106" i="2"/>
  <c r="I106" i="2" s="1"/>
  <c r="Q125" i="2"/>
  <c r="I125" i="2" s="1"/>
  <c r="J125" i="2"/>
  <c r="R125" i="2" s="1"/>
  <c r="CZ125" i="2" s="1"/>
  <c r="DA126" i="2"/>
  <c r="T126" i="2" s="1"/>
  <c r="U126" i="2"/>
  <c r="V126" i="2" s="1"/>
  <c r="DB126" i="2" s="1"/>
  <c r="DA137" i="2"/>
  <c r="T137" i="2" s="1"/>
  <c r="U137" i="2"/>
  <c r="V137" i="2" s="1"/>
  <c r="DB137" i="2" s="1"/>
  <c r="U145" i="2"/>
  <c r="V145" i="2" s="1"/>
  <c r="DB145" i="2" s="1"/>
  <c r="DA145" i="2"/>
  <c r="T145" i="2" s="1"/>
  <c r="DC127" i="2"/>
  <c r="X127" i="2" s="1"/>
  <c r="Y127" i="2"/>
  <c r="Z127" i="2" s="1"/>
  <c r="DD127" i="2" s="1"/>
  <c r="U134" i="2"/>
  <c r="V134" i="2" s="1"/>
  <c r="DB134" i="2" s="1"/>
  <c r="DA134" i="2"/>
  <c r="T134" i="2" s="1"/>
  <c r="J116" i="2"/>
  <c r="R116" i="2" s="1"/>
  <c r="CZ116" i="2" s="1"/>
  <c r="Q116" i="2"/>
  <c r="I116" i="2" s="1"/>
  <c r="J117" i="2"/>
  <c r="R117" i="2" s="1"/>
  <c r="CZ117" i="2" s="1"/>
  <c r="Q117" i="2"/>
  <c r="I117" i="2" s="1"/>
  <c r="J136" i="2"/>
  <c r="R136" i="2" s="1"/>
  <c r="CZ136" i="2" s="1"/>
  <c r="Q136" i="2"/>
  <c r="I136" i="2" s="1"/>
  <c r="DC142" i="2"/>
  <c r="X142" i="2" s="1"/>
  <c r="Y142" i="2"/>
  <c r="Z142" i="2" s="1"/>
  <c r="DD142" i="2" s="1"/>
  <c r="Q124" i="2"/>
  <c r="I124" i="2" s="1"/>
  <c r="J124" i="2"/>
  <c r="R124" i="2" s="1"/>
  <c r="CZ124" i="2" s="1"/>
  <c r="Y130" i="2"/>
  <c r="Z130" i="2" s="1"/>
  <c r="DD130" i="2" s="1"/>
  <c r="DC130" i="2"/>
  <c r="X130" i="2" s="1"/>
  <c r="DA132" i="2"/>
  <c r="T132" i="2" s="1"/>
  <c r="U132" i="2"/>
  <c r="V132" i="2" s="1"/>
  <c r="DB132" i="2" s="1"/>
  <c r="Q85" i="2"/>
  <c r="I85" i="2" s="1"/>
  <c r="J85" i="2"/>
  <c r="R85" i="2" s="1"/>
  <c r="CZ85" i="2" s="1"/>
  <c r="Q118" i="2"/>
  <c r="I118" i="2" s="1"/>
  <c r="J118" i="2"/>
  <c r="R118" i="2" s="1"/>
  <c r="CZ118" i="2" s="1"/>
  <c r="Q132" i="2"/>
  <c r="I132" i="2" s="1"/>
  <c r="J88" i="2"/>
  <c r="R88" i="2" s="1"/>
  <c r="CZ88" i="2" s="1"/>
  <c r="DA108" i="2"/>
  <c r="T108" i="2" s="1"/>
  <c r="U108" i="2"/>
  <c r="V108" i="2" s="1"/>
  <c r="DB108" i="2" s="1"/>
  <c r="J81" i="2"/>
  <c r="R81" i="2" s="1"/>
  <c r="CZ81" i="2" s="1"/>
  <c r="Q81" i="2"/>
  <c r="I81" i="2" s="1"/>
  <c r="Q121" i="2"/>
  <c r="I121" i="2" s="1"/>
  <c r="DA149" i="2"/>
  <c r="T149" i="2" s="1"/>
  <c r="U149" i="2"/>
  <c r="V149" i="2" s="1"/>
  <c r="DB149" i="2" s="1"/>
  <c r="DC135" i="2"/>
  <c r="X135" i="2" s="1"/>
  <c r="Y135" i="2"/>
  <c r="Z135" i="2" s="1"/>
  <c r="DD135" i="2" s="1"/>
  <c r="U144" i="2"/>
  <c r="V144" i="2" s="1"/>
  <c r="DB144" i="2" s="1"/>
  <c r="DA144" i="2"/>
  <c r="T144" i="2" s="1"/>
  <c r="J141" i="2"/>
  <c r="R141" i="2" s="1"/>
  <c r="CZ141" i="2" s="1"/>
  <c r="Q141" i="2"/>
  <c r="I141" i="2" s="1"/>
  <c r="J128" i="2"/>
  <c r="R128" i="2" s="1"/>
  <c r="CZ128" i="2" s="1"/>
  <c r="Q147" i="2"/>
  <c r="I147" i="2" s="1"/>
  <c r="J147" i="2"/>
  <c r="R147" i="2" s="1"/>
  <c r="CZ147" i="2" s="1"/>
  <c r="J146" i="2"/>
  <c r="R146" i="2" s="1"/>
  <c r="CZ146" i="2" s="1"/>
  <c r="Q146" i="2"/>
  <c r="I146" i="2" s="1"/>
  <c r="J150" i="2"/>
  <c r="R150" i="2" s="1"/>
  <c r="CZ150" i="2" s="1"/>
  <c r="DA139" i="2"/>
  <c r="T139" i="2" s="1"/>
  <c r="U139" i="2"/>
  <c r="V139" i="2" s="1"/>
  <c r="DB139" i="2" s="1"/>
  <c r="Q122" i="2"/>
  <c r="I122" i="2" s="1"/>
  <c r="J122" i="2"/>
  <c r="R122" i="2" s="1"/>
  <c r="CZ122" i="2" s="1"/>
  <c r="U140" i="2"/>
  <c r="V140" i="2" s="1"/>
  <c r="DB140" i="2" s="1"/>
  <c r="DA140" i="2"/>
  <c r="T140" i="2" s="1"/>
  <c r="J131" i="2"/>
  <c r="R131" i="2" s="1"/>
  <c r="CZ131" i="2" s="1"/>
  <c r="Q131" i="2"/>
  <c r="I131" i="2" s="1"/>
  <c r="Q138" i="2"/>
  <c r="I138" i="2" s="1"/>
  <c r="J138" i="2"/>
  <c r="R138" i="2" s="1"/>
  <c r="CZ138" i="2" s="1"/>
  <c r="Q143" i="2"/>
  <c r="I143" i="2" s="1"/>
  <c r="J143" i="2"/>
  <c r="R143" i="2" s="1"/>
  <c r="CZ143" i="2" s="1"/>
  <c r="Q148" i="2"/>
  <c r="I148" i="2" s="1"/>
  <c r="J148" i="2"/>
  <c r="R148" i="2" s="1"/>
  <c r="CZ148" i="2" s="1"/>
  <c r="Q123" i="2"/>
  <c r="I123" i="2" s="1"/>
  <c r="J123" i="2"/>
  <c r="R123" i="2" s="1"/>
  <c r="CZ123" i="2" s="1"/>
  <c r="Y55" i="2" l="1"/>
  <c r="Z55" i="2" s="1"/>
  <c r="DD55" i="2" s="1"/>
  <c r="U16" i="2"/>
  <c r="V16" i="2" s="1"/>
  <c r="DB16" i="2" s="1"/>
  <c r="U9" i="2"/>
  <c r="V9" i="2" s="1"/>
  <c r="DB9" i="2" s="1"/>
  <c r="DC48" i="2"/>
  <c r="X48" i="2" s="1"/>
  <c r="U20" i="2"/>
  <c r="V20" i="2" s="1"/>
  <c r="DB20" i="2" s="1"/>
  <c r="DA20" i="2"/>
  <c r="T20" i="2" s="1"/>
  <c r="U41" i="2"/>
  <c r="V41" i="2" s="1"/>
  <c r="DB41" i="2" s="1"/>
  <c r="DA41" i="2"/>
  <c r="T41" i="2" s="1"/>
  <c r="U115" i="2"/>
  <c r="V115" i="2" s="1"/>
  <c r="DB115" i="2" s="1"/>
  <c r="DA115" i="2"/>
  <c r="T115" i="2" s="1"/>
  <c r="Y82" i="2"/>
  <c r="Z82" i="2" s="1"/>
  <c r="DD82" i="2" s="1"/>
  <c r="DA50" i="2"/>
  <c r="T50" i="2" s="1"/>
  <c r="U94" i="2"/>
  <c r="V94" i="2" s="1"/>
  <c r="DB94" i="2" s="1"/>
  <c r="DA94" i="2"/>
  <c r="T94" i="2" s="1"/>
  <c r="DA2" i="2"/>
  <c r="T2" i="2" s="1"/>
  <c r="DC83" i="2"/>
  <c r="X83" i="2" s="1"/>
  <c r="Y83" i="2"/>
  <c r="Z83" i="2" s="1"/>
  <c r="DD83" i="2" s="1"/>
  <c r="DC53" i="2"/>
  <c r="X53" i="2" s="1"/>
  <c r="Y53" i="2"/>
  <c r="Z53" i="2" s="1"/>
  <c r="DD53" i="2" s="1"/>
  <c r="DC30" i="2"/>
  <c r="X30" i="2" s="1"/>
  <c r="Y30" i="2"/>
  <c r="Z30" i="2" s="1"/>
  <c r="DD30" i="2" s="1"/>
  <c r="DC38" i="2"/>
  <c r="X38" i="2" s="1"/>
  <c r="Y38" i="2"/>
  <c r="Z38" i="2" s="1"/>
  <c r="DD38" i="2" s="1"/>
  <c r="Y18" i="2"/>
  <c r="Z18" i="2" s="1"/>
  <c r="DD18" i="2" s="1"/>
  <c r="DC18" i="2"/>
  <c r="X18" i="2" s="1"/>
  <c r="Y44" i="2"/>
  <c r="Z44" i="2" s="1"/>
  <c r="DD44" i="2" s="1"/>
  <c r="DC44" i="2"/>
  <c r="X44" i="2" s="1"/>
  <c r="Y3" i="2"/>
  <c r="Z3" i="2" s="1"/>
  <c r="DD3" i="2" s="1"/>
  <c r="DC3" i="2"/>
  <c r="X3" i="2" s="1"/>
  <c r="Y126" i="2"/>
  <c r="Z126" i="2" s="1"/>
  <c r="DD126" i="2" s="1"/>
  <c r="DC126" i="2"/>
  <c r="X126" i="2" s="1"/>
  <c r="DA88" i="2"/>
  <c r="T88" i="2" s="1"/>
  <c r="U88" i="2"/>
  <c r="V88" i="2" s="1"/>
  <c r="DB88" i="2" s="1"/>
  <c r="Y36" i="2"/>
  <c r="Z36" i="2" s="1"/>
  <c r="DD36" i="2" s="1"/>
  <c r="DC36" i="2"/>
  <c r="X36" i="2" s="1"/>
  <c r="Y52" i="2"/>
  <c r="Z52" i="2" s="1"/>
  <c r="DD52" i="2" s="1"/>
  <c r="DC52" i="2"/>
  <c r="X52" i="2" s="1"/>
  <c r="DC58" i="2"/>
  <c r="X58" i="2" s="1"/>
  <c r="Y58" i="2"/>
  <c r="Z58" i="2" s="1"/>
  <c r="DD58" i="2" s="1"/>
  <c r="U65" i="2"/>
  <c r="V65" i="2" s="1"/>
  <c r="DB65" i="2" s="1"/>
  <c r="DA65" i="2"/>
  <c r="T65" i="2" s="1"/>
  <c r="Y11" i="2"/>
  <c r="Z11" i="2" s="1"/>
  <c r="DD11" i="2" s="1"/>
  <c r="DC11" i="2"/>
  <c r="X11" i="2" s="1"/>
  <c r="Y14" i="2"/>
  <c r="Z14" i="2" s="1"/>
  <c r="DD14" i="2" s="1"/>
  <c r="DC14" i="2"/>
  <c r="X14" i="2" s="1"/>
  <c r="DA81" i="2"/>
  <c r="T81" i="2" s="1"/>
  <c r="U81" i="2"/>
  <c r="V81" i="2" s="1"/>
  <c r="DB81" i="2" s="1"/>
  <c r="DC119" i="2"/>
  <c r="X119" i="2" s="1"/>
  <c r="Y119" i="2"/>
  <c r="Z119" i="2" s="1"/>
  <c r="DD119" i="2" s="1"/>
  <c r="DC139" i="2"/>
  <c r="X139" i="2" s="1"/>
  <c r="Y139" i="2"/>
  <c r="Z139" i="2" s="1"/>
  <c r="DD139" i="2" s="1"/>
  <c r="U138" i="2"/>
  <c r="V138" i="2" s="1"/>
  <c r="DB138" i="2" s="1"/>
  <c r="DA138" i="2"/>
  <c r="T138" i="2" s="1"/>
  <c r="U116" i="2"/>
  <c r="V116" i="2" s="1"/>
  <c r="DB116" i="2" s="1"/>
  <c r="DA116" i="2"/>
  <c r="T116" i="2" s="1"/>
  <c r="DC144" i="2"/>
  <c r="X144" i="2" s="1"/>
  <c r="Y144" i="2"/>
  <c r="Z144" i="2" s="1"/>
  <c r="DD144" i="2" s="1"/>
  <c r="AC135" i="2"/>
  <c r="AD135" i="2" s="1"/>
  <c r="DF135" i="2" s="1"/>
  <c r="DE135" i="2"/>
  <c r="AB135" i="2" s="1"/>
  <c r="DC134" i="2"/>
  <c r="X134" i="2" s="1"/>
  <c r="Y134" i="2"/>
  <c r="Z134" i="2" s="1"/>
  <c r="DD134" i="2" s="1"/>
  <c r="DE121" i="2"/>
  <c r="AB121" i="2" s="1"/>
  <c r="AC121" i="2"/>
  <c r="AD121" i="2" s="1"/>
  <c r="DF121" i="2" s="1"/>
  <c r="DA99" i="2"/>
  <c r="T99" i="2" s="1"/>
  <c r="U99" i="2"/>
  <c r="V99" i="2" s="1"/>
  <c r="DB99" i="2" s="1"/>
  <c r="U109" i="2"/>
  <c r="V109" i="2" s="1"/>
  <c r="DB109" i="2" s="1"/>
  <c r="DA109" i="2"/>
  <c r="T109" i="2" s="1"/>
  <c r="DA49" i="2"/>
  <c r="T49" i="2" s="1"/>
  <c r="U49" i="2"/>
  <c r="V49" i="2" s="1"/>
  <c r="DB49" i="2" s="1"/>
  <c r="DA70" i="2"/>
  <c r="T70" i="2" s="1"/>
  <c r="U70" i="2"/>
  <c r="V70" i="2" s="1"/>
  <c r="DB70" i="2" s="1"/>
  <c r="DC93" i="2"/>
  <c r="X93" i="2" s="1"/>
  <c r="Y93" i="2"/>
  <c r="Z93" i="2" s="1"/>
  <c r="DD93" i="2" s="1"/>
  <c r="DE47" i="2"/>
  <c r="AB47" i="2" s="1"/>
  <c r="AC47" i="2"/>
  <c r="AD47" i="2" s="1"/>
  <c r="DF47" i="2" s="1"/>
  <c r="DE55" i="2"/>
  <c r="AB55" i="2" s="1"/>
  <c r="AC55" i="2"/>
  <c r="AD55" i="2" s="1"/>
  <c r="DF55" i="2" s="1"/>
  <c r="Y5" i="2"/>
  <c r="Z5" i="2" s="1"/>
  <c r="DD5" i="2" s="1"/>
  <c r="DC5" i="2"/>
  <c r="X5" i="2" s="1"/>
  <c r="DC35" i="2"/>
  <c r="X35" i="2" s="1"/>
  <c r="Y35" i="2"/>
  <c r="Z35" i="2" s="1"/>
  <c r="DD35" i="2" s="1"/>
  <c r="DC7" i="2"/>
  <c r="X7" i="2" s="1"/>
  <c r="Y7" i="2"/>
  <c r="Z7" i="2" s="1"/>
  <c r="DD7" i="2" s="1"/>
  <c r="DC40" i="2"/>
  <c r="X40" i="2" s="1"/>
  <c r="Y40" i="2"/>
  <c r="Z40" i="2" s="1"/>
  <c r="DD40" i="2" s="1"/>
  <c r="DC2" i="2"/>
  <c r="X2" i="2" s="1"/>
  <c r="Y2" i="2"/>
  <c r="Z2" i="2" s="1"/>
  <c r="DD2" i="2" s="1"/>
  <c r="DC133" i="2"/>
  <c r="X133" i="2" s="1"/>
  <c r="Y133" i="2"/>
  <c r="Z133" i="2" s="1"/>
  <c r="DD133" i="2" s="1"/>
  <c r="Y103" i="2"/>
  <c r="Z103" i="2" s="1"/>
  <c r="DD103" i="2" s="1"/>
  <c r="DC103" i="2"/>
  <c r="X103" i="2" s="1"/>
  <c r="Y104" i="2"/>
  <c r="Z104" i="2" s="1"/>
  <c r="DD104" i="2" s="1"/>
  <c r="DC104" i="2"/>
  <c r="X104" i="2" s="1"/>
  <c r="U89" i="2"/>
  <c r="V89" i="2" s="1"/>
  <c r="DB89" i="2" s="1"/>
  <c r="DA89" i="2"/>
  <c r="T89" i="2" s="1"/>
  <c r="U150" i="2"/>
  <c r="V150" i="2" s="1"/>
  <c r="DB150" i="2" s="1"/>
  <c r="DA150" i="2"/>
  <c r="T150" i="2" s="1"/>
  <c r="DA125" i="2"/>
  <c r="T125" i="2" s="1"/>
  <c r="U125" i="2"/>
  <c r="V125" i="2" s="1"/>
  <c r="DB125" i="2" s="1"/>
  <c r="DA61" i="2"/>
  <c r="T61" i="2" s="1"/>
  <c r="U61" i="2"/>
  <c r="V61" i="2" s="1"/>
  <c r="DB61" i="2" s="1"/>
  <c r="DA62" i="2"/>
  <c r="T62" i="2" s="1"/>
  <c r="U62" i="2"/>
  <c r="V62" i="2" s="1"/>
  <c r="DB62" i="2" s="1"/>
  <c r="DA148" i="2"/>
  <c r="T148" i="2" s="1"/>
  <c r="U148" i="2"/>
  <c r="V148" i="2" s="1"/>
  <c r="DB148" i="2" s="1"/>
  <c r="U131" i="2"/>
  <c r="V131" i="2" s="1"/>
  <c r="DB131" i="2" s="1"/>
  <c r="DA131" i="2"/>
  <c r="T131" i="2" s="1"/>
  <c r="U118" i="2"/>
  <c r="V118" i="2" s="1"/>
  <c r="DB118" i="2" s="1"/>
  <c r="DA118" i="2"/>
  <c r="T118" i="2" s="1"/>
  <c r="AC142" i="2"/>
  <c r="AD142" i="2" s="1"/>
  <c r="DF142" i="2" s="1"/>
  <c r="DE142" i="2"/>
  <c r="AB142" i="2" s="1"/>
  <c r="DE127" i="2"/>
  <c r="AB127" i="2" s="1"/>
  <c r="AC127" i="2"/>
  <c r="AD127" i="2" s="1"/>
  <c r="DF127" i="2" s="1"/>
  <c r="DE107" i="2"/>
  <c r="AB107" i="2" s="1"/>
  <c r="AC107" i="2"/>
  <c r="AD107" i="2" s="1"/>
  <c r="DF107" i="2" s="1"/>
  <c r="Y73" i="2"/>
  <c r="Z73" i="2" s="1"/>
  <c r="DD73" i="2" s="1"/>
  <c r="DC73" i="2"/>
  <c r="X73" i="2" s="1"/>
  <c r="DA71" i="2"/>
  <c r="T71" i="2" s="1"/>
  <c r="U71" i="2"/>
  <c r="V71" i="2" s="1"/>
  <c r="DB71" i="2" s="1"/>
  <c r="DC92" i="2"/>
  <c r="X92" i="2" s="1"/>
  <c r="Y92" i="2"/>
  <c r="Z92" i="2" s="1"/>
  <c r="DD92" i="2" s="1"/>
  <c r="DC98" i="2"/>
  <c r="X98" i="2" s="1"/>
  <c r="Y98" i="2"/>
  <c r="Z98" i="2" s="1"/>
  <c r="DD98" i="2" s="1"/>
  <c r="DE82" i="2"/>
  <c r="AB82" i="2" s="1"/>
  <c r="AC82" i="2"/>
  <c r="AD82" i="2" s="1"/>
  <c r="DF82" i="2" s="1"/>
  <c r="DE75" i="2"/>
  <c r="AB75" i="2" s="1"/>
  <c r="AC75" i="2"/>
  <c r="AD75" i="2" s="1"/>
  <c r="DF75" i="2" s="1"/>
  <c r="DA32" i="2"/>
  <c r="T32" i="2" s="1"/>
  <c r="U32" i="2"/>
  <c r="V32" i="2" s="1"/>
  <c r="DB32" i="2" s="1"/>
  <c r="DC66" i="2"/>
  <c r="X66" i="2" s="1"/>
  <c r="Y66" i="2"/>
  <c r="Z66" i="2" s="1"/>
  <c r="DD66" i="2" s="1"/>
  <c r="AC48" i="2"/>
  <c r="AD48" i="2" s="1"/>
  <c r="DF48" i="2" s="1"/>
  <c r="DE48" i="2"/>
  <c r="AB48" i="2" s="1"/>
  <c r="Y54" i="2"/>
  <c r="Z54" i="2" s="1"/>
  <c r="DD54" i="2" s="1"/>
  <c r="DC54" i="2"/>
  <c r="X54" i="2" s="1"/>
  <c r="DC140" i="2"/>
  <c r="X140" i="2" s="1"/>
  <c r="Y140" i="2"/>
  <c r="Z140" i="2" s="1"/>
  <c r="DD140" i="2" s="1"/>
  <c r="DE130" i="2"/>
  <c r="AB130" i="2" s="1"/>
  <c r="AC130" i="2"/>
  <c r="AD130" i="2" s="1"/>
  <c r="DF130" i="2" s="1"/>
  <c r="U124" i="2"/>
  <c r="V124" i="2" s="1"/>
  <c r="DB124" i="2" s="1"/>
  <c r="DA124" i="2"/>
  <c r="T124" i="2" s="1"/>
  <c r="DC96" i="2"/>
  <c r="X96" i="2" s="1"/>
  <c r="Y96" i="2"/>
  <c r="Z96" i="2" s="1"/>
  <c r="DD96" i="2" s="1"/>
  <c r="DA143" i="2"/>
  <c r="T143" i="2" s="1"/>
  <c r="U143" i="2"/>
  <c r="V143" i="2" s="1"/>
  <c r="DB143" i="2" s="1"/>
  <c r="DC149" i="2"/>
  <c r="X149" i="2" s="1"/>
  <c r="Y149" i="2"/>
  <c r="Z149" i="2" s="1"/>
  <c r="DD149" i="2" s="1"/>
  <c r="DA106" i="2"/>
  <c r="T106" i="2" s="1"/>
  <c r="U106" i="2"/>
  <c r="V106" i="2" s="1"/>
  <c r="DB106" i="2" s="1"/>
  <c r="DC114" i="2"/>
  <c r="X114" i="2" s="1"/>
  <c r="Y114" i="2"/>
  <c r="Z114" i="2" s="1"/>
  <c r="DD114" i="2" s="1"/>
  <c r="U91" i="2"/>
  <c r="V91" i="2" s="1"/>
  <c r="DB91" i="2" s="1"/>
  <c r="DA91" i="2"/>
  <c r="T91" i="2" s="1"/>
  <c r="DA34" i="2"/>
  <c r="T34" i="2" s="1"/>
  <c r="U34" i="2"/>
  <c r="V34" i="2" s="1"/>
  <c r="DB34" i="2" s="1"/>
  <c r="DC50" i="2"/>
  <c r="X50" i="2" s="1"/>
  <c r="Y50" i="2"/>
  <c r="Z50" i="2" s="1"/>
  <c r="DD50" i="2" s="1"/>
  <c r="AC24" i="2"/>
  <c r="AD24" i="2" s="1"/>
  <c r="DF24" i="2" s="1"/>
  <c r="DE24" i="2"/>
  <c r="AB24" i="2" s="1"/>
  <c r="Y23" i="2"/>
  <c r="Z23" i="2" s="1"/>
  <c r="DD23" i="2" s="1"/>
  <c r="DC23" i="2"/>
  <c r="X23" i="2" s="1"/>
  <c r="DE22" i="2"/>
  <c r="AB22" i="2" s="1"/>
  <c r="AC22" i="2"/>
  <c r="AD22" i="2" s="1"/>
  <c r="DF22" i="2" s="1"/>
  <c r="DA123" i="2"/>
  <c r="T123" i="2" s="1"/>
  <c r="U123" i="2"/>
  <c r="V123" i="2" s="1"/>
  <c r="DB123" i="2" s="1"/>
  <c r="DA122" i="2"/>
  <c r="T122" i="2" s="1"/>
  <c r="U122" i="2"/>
  <c r="V122" i="2" s="1"/>
  <c r="DB122" i="2" s="1"/>
  <c r="U128" i="2"/>
  <c r="V128" i="2" s="1"/>
  <c r="DB128" i="2" s="1"/>
  <c r="DA128" i="2"/>
  <c r="T128" i="2" s="1"/>
  <c r="U85" i="2"/>
  <c r="V85" i="2" s="1"/>
  <c r="DB85" i="2" s="1"/>
  <c r="DA85" i="2"/>
  <c r="T85" i="2" s="1"/>
  <c r="DC101" i="2"/>
  <c r="X101" i="2" s="1"/>
  <c r="Y101" i="2"/>
  <c r="Z101" i="2" s="1"/>
  <c r="DD101" i="2" s="1"/>
  <c r="DC90" i="2"/>
  <c r="X90" i="2" s="1"/>
  <c r="Y90" i="2"/>
  <c r="Z90" i="2" s="1"/>
  <c r="DD90" i="2" s="1"/>
  <c r="AC120" i="2"/>
  <c r="AD120" i="2" s="1"/>
  <c r="DF120" i="2" s="1"/>
  <c r="DE120" i="2"/>
  <c r="AB120" i="2" s="1"/>
  <c r="Y110" i="2"/>
  <c r="Z110" i="2" s="1"/>
  <c r="DD110" i="2" s="1"/>
  <c r="DC110" i="2"/>
  <c r="X110" i="2" s="1"/>
  <c r="U95" i="2"/>
  <c r="V95" i="2" s="1"/>
  <c r="DB95" i="2" s="1"/>
  <c r="DA95" i="2"/>
  <c r="T95" i="2" s="1"/>
  <c r="Y78" i="2"/>
  <c r="Z78" i="2" s="1"/>
  <c r="DD78" i="2" s="1"/>
  <c r="DC78" i="2"/>
  <c r="X78" i="2" s="1"/>
  <c r="AC86" i="2"/>
  <c r="AD86" i="2" s="1"/>
  <c r="DF86" i="2" s="1"/>
  <c r="DE86" i="2"/>
  <c r="AB86" i="2" s="1"/>
  <c r="Y57" i="2"/>
  <c r="Z57" i="2" s="1"/>
  <c r="DD57" i="2" s="1"/>
  <c r="DC57" i="2"/>
  <c r="X57" i="2" s="1"/>
  <c r="DA45" i="2"/>
  <c r="T45" i="2" s="1"/>
  <c r="U45" i="2"/>
  <c r="V45" i="2" s="1"/>
  <c r="DB45" i="2" s="1"/>
  <c r="DA33" i="2"/>
  <c r="T33" i="2" s="1"/>
  <c r="U33" i="2"/>
  <c r="V33" i="2" s="1"/>
  <c r="DB33" i="2" s="1"/>
  <c r="DC25" i="2"/>
  <c r="X25" i="2" s="1"/>
  <c r="Y25" i="2"/>
  <c r="Z25" i="2" s="1"/>
  <c r="DD25" i="2" s="1"/>
  <c r="Y4" i="2"/>
  <c r="Z4" i="2" s="1"/>
  <c r="DD4" i="2" s="1"/>
  <c r="DC4" i="2"/>
  <c r="X4" i="2" s="1"/>
  <c r="DC27" i="2"/>
  <c r="X27" i="2" s="1"/>
  <c r="Y27" i="2"/>
  <c r="Z27" i="2" s="1"/>
  <c r="DD27" i="2" s="1"/>
  <c r="Y13" i="2"/>
  <c r="Z13" i="2" s="1"/>
  <c r="DD13" i="2" s="1"/>
  <c r="DC13" i="2"/>
  <c r="X13" i="2" s="1"/>
  <c r="U136" i="2"/>
  <c r="V136" i="2" s="1"/>
  <c r="DB136" i="2" s="1"/>
  <c r="DA136" i="2"/>
  <c r="T136" i="2" s="1"/>
  <c r="Y145" i="2"/>
  <c r="Z145" i="2" s="1"/>
  <c r="DD145" i="2" s="1"/>
  <c r="DC145" i="2"/>
  <c r="X145" i="2" s="1"/>
  <c r="DA102" i="2"/>
  <c r="T102" i="2" s="1"/>
  <c r="U102" i="2"/>
  <c r="V102" i="2" s="1"/>
  <c r="DB102" i="2" s="1"/>
  <c r="U60" i="2"/>
  <c r="V60" i="2" s="1"/>
  <c r="DB60" i="2" s="1"/>
  <c r="DA60" i="2"/>
  <c r="T60" i="2" s="1"/>
  <c r="DE79" i="2"/>
  <c r="AB79" i="2" s="1"/>
  <c r="AC79" i="2"/>
  <c r="AD79" i="2" s="1"/>
  <c r="DF79" i="2" s="1"/>
  <c r="Y43" i="2"/>
  <c r="Z43" i="2" s="1"/>
  <c r="DD43" i="2" s="1"/>
  <c r="DC43" i="2"/>
  <c r="X43" i="2" s="1"/>
  <c r="DA56" i="2"/>
  <c r="T56" i="2" s="1"/>
  <c r="U56" i="2"/>
  <c r="V56" i="2" s="1"/>
  <c r="DB56" i="2" s="1"/>
  <c r="Y28" i="2"/>
  <c r="Z28" i="2" s="1"/>
  <c r="DD28" i="2" s="1"/>
  <c r="DC28" i="2"/>
  <c r="X28" i="2" s="1"/>
  <c r="DE21" i="2"/>
  <c r="AB21" i="2" s="1"/>
  <c r="AC21" i="2"/>
  <c r="AD21" i="2" s="1"/>
  <c r="DF21" i="2" s="1"/>
  <c r="Y16" i="2"/>
  <c r="Z16" i="2" s="1"/>
  <c r="DD16" i="2" s="1"/>
  <c r="DC16" i="2"/>
  <c r="X16" i="2" s="1"/>
  <c r="DC37" i="2"/>
  <c r="X37" i="2" s="1"/>
  <c r="Y37" i="2"/>
  <c r="Z37" i="2" s="1"/>
  <c r="DD37" i="2" s="1"/>
  <c r="Y15" i="2"/>
  <c r="Z15" i="2" s="1"/>
  <c r="DD15" i="2" s="1"/>
  <c r="DC15" i="2"/>
  <c r="X15" i="2" s="1"/>
  <c r="DA147" i="2"/>
  <c r="T147" i="2" s="1"/>
  <c r="U147" i="2"/>
  <c r="V147" i="2" s="1"/>
  <c r="DB147" i="2" s="1"/>
  <c r="U141" i="2"/>
  <c r="V141" i="2" s="1"/>
  <c r="DB141" i="2" s="1"/>
  <c r="DA141" i="2"/>
  <c r="T141" i="2" s="1"/>
  <c r="DC132" i="2"/>
  <c r="X132" i="2" s="1"/>
  <c r="Y132" i="2"/>
  <c r="Z132" i="2" s="1"/>
  <c r="DD132" i="2" s="1"/>
  <c r="Y137" i="2"/>
  <c r="Z137" i="2" s="1"/>
  <c r="DD137" i="2" s="1"/>
  <c r="DC137" i="2"/>
  <c r="X137" i="2" s="1"/>
  <c r="DC63" i="2"/>
  <c r="X63" i="2" s="1"/>
  <c r="Y63" i="2"/>
  <c r="Z63" i="2" s="1"/>
  <c r="DD63" i="2" s="1"/>
  <c r="U111" i="2"/>
  <c r="V111" i="2" s="1"/>
  <c r="DB111" i="2" s="1"/>
  <c r="DA111" i="2"/>
  <c r="T111" i="2" s="1"/>
  <c r="U80" i="2"/>
  <c r="V80" i="2" s="1"/>
  <c r="DB80" i="2" s="1"/>
  <c r="DA80" i="2"/>
  <c r="T80" i="2" s="1"/>
  <c r="AC84" i="2"/>
  <c r="AD84" i="2" s="1"/>
  <c r="DF84" i="2" s="1"/>
  <c r="DE84" i="2"/>
  <c r="AB84" i="2" s="1"/>
  <c r="Y72" i="2"/>
  <c r="Z72" i="2" s="1"/>
  <c r="DD72" i="2" s="1"/>
  <c r="DC72" i="2"/>
  <c r="X72" i="2" s="1"/>
  <c r="Y59" i="2"/>
  <c r="Z59" i="2" s="1"/>
  <c r="DD59" i="2" s="1"/>
  <c r="DC59" i="2"/>
  <c r="X59" i="2" s="1"/>
  <c r="U51" i="2"/>
  <c r="V51" i="2" s="1"/>
  <c r="DB51" i="2" s="1"/>
  <c r="DA51" i="2"/>
  <c r="T51" i="2" s="1"/>
  <c r="U42" i="2"/>
  <c r="V42" i="2" s="1"/>
  <c r="DB42" i="2" s="1"/>
  <c r="DA42" i="2"/>
  <c r="T42" i="2" s="1"/>
  <c r="Y26" i="2"/>
  <c r="Z26" i="2" s="1"/>
  <c r="DD26" i="2" s="1"/>
  <c r="DC26" i="2"/>
  <c r="X26" i="2" s="1"/>
  <c r="DC9" i="2"/>
  <c r="X9" i="2" s="1"/>
  <c r="Y9" i="2"/>
  <c r="Z9" i="2" s="1"/>
  <c r="DD9" i="2" s="1"/>
  <c r="DA112" i="2"/>
  <c r="T112" i="2" s="1"/>
  <c r="U112" i="2"/>
  <c r="V112" i="2" s="1"/>
  <c r="DB112" i="2" s="1"/>
  <c r="DA74" i="2"/>
  <c r="T74" i="2" s="1"/>
  <c r="U74" i="2"/>
  <c r="V74" i="2" s="1"/>
  <c r="DB74" i="2" s="1"/>
  <c r="DC100" i="2"/>
  <c r="X100" i="2" s="1"/>
  <c r="Y100" i="2"/>
  <c r="Z100" i="2" s="1"/>
  <c r="DD100" i="2" s="1"/>
  <c r="DA76" i="2"/>
  <c r="T76" i="2" s="1"/>
  <c r="U76" i="2"/>
  <c r="V76" i="2" s="1"/>
  <c r="DB76" i="2" s="1"/>
  <c r="DC68" i="2"/>
  <c r="X68" i="2" s="1"/>
  <c r="Y68" i="2"/>
  <c r="Z68" i="2" s="1"/>
  <c r="DD68" i="2" s="1"/>
  <c r="Y69" i="2"/>
  <c r="Z69" i="2" s="1"/>
  <c r="DD69" i="2" s="1"/>
  <c r="DC69" i="2"/>
  <c r="X69" i="2" s="1"/>
  <c r="U29" i="2"/>
  <c r="V29" i="2" s="1"/>
  <c r="DB29" i="2" s="1"/>
  <c r="DA29" i="2"/>
  <c r="T29" i="2" s="1"/>
  <c r="Y17" i="2"/>
  <c r="Z17" i="2" s="1"/>
  <c r="DD17" i="2" s="1"/>
  <c r="DC17" i="2"/>
  <c r="X17" i="2" s="1"/>
  <c r="Y8" i="2"/>
  <c r="Z8" i="2" s="1"/>
  <c r="DD8" i="2" s="1"/>
  <c r="DC8" i="2"/>
  <c r="X8" i="2" s="1"/>
  <c r="Y6" i="2"/>
  <c r="Z6" i="2" s="1"/>
  <c r="DD6" i="2" s="1"/>
  <c r="DC6" i="2"/>
  <c r="X6" i="2" s="1"/>
  <c r="U146" i="2"/>
  <c r="V146" i="2" s="1"/>
  <c r="DB146" i="2" s="1"/>
  <c r="DA146" i="2"/>
  <c r="T146" i="2" s="1"/>
  <c r="DA117" i="2"/>
  <c r="T117" i="2" s="1"/>
  <c r="U117" i="2"/>
  <c r="V117" i="2" s="1"/>
  <c r="DB117" i="2" s="1"/>
  <c r="DA97" i="2"/>
  <c r="T97" i="2" s="1"/>
  <c r="U97" i="2"/>
  <c r="V97" i="2" s="1"/>
  <c r="DB97" i="2" s="1"/>
  <c r="DC108" i="2"/>
  <c r="X108" i="2" s="1"/>
  <c r="Y108" i="2"/>
  <c r="Z108" i="2" s="1"/>
  <c r="DD108" i="2" s="1"/>
  <c r="DC113" i="2"/>
  <c r="X113" i="2" s="1"/>
  <c r="Y113" i="2"/>
  <c r="Z113" i="2" s="1"/>
  <c r="DD113" i="2" s="1"/>
  <c r="DC129" i="2"/>
  <c r="X129" i="2" s="1"/>
  <c r="Y129" i="2"/>
  <c r="Z129" i="2" s="1"/>
  <c r="DD129" i="2" s="1"/>
  <c r="DC105" i="2"/>
  <c r="X105" i="2" s="1"/>
  <c r="Y105" i="2"/>
  <c r="Z105" i="2" s="1"/>
  <c r="DD105" i="2" s="1"/>
  <c r="DA87" i="2"/>
  <c r="T87" i="2" s="1"/>
  <c r="U87" i="2"/>
  <c r="V87" i="2" s="1"/>
  <c r="DB87" i="2" s="1"/>
  <c r="DC77" i="2"/>
  <c r="X77" i="2" s="1"/>
  <c r="Y77" i="2"/>
  <c r="Z77" i="2" s="1"/>
  <c r="DD77" i="2" s="1"/>
  <c r="DE67" i="2"/>
  <c r="AB67" i="2" s="1"/>
  <c r="AC67" i="2"/>
  <c r="AD67" i="2" s="1"/>
  <c r="DF67" i="2" s="1"/>
  <c r="Y64" i="2"/>
  <c r="Z64" i="2" s="1"/>
  <c r="DD64" i="2" s="1"/>
  <c r="DC64" i="2"/>
  <c r="X64" i="2" s="1"/>
  <c r="U39" i="2"/>
  <c r="V39" i="2" s="1"/>
  <c r="DB39" i="2" s="1"/>
  <c r="DA39" i="2"/>
  <c r="T39" i="2" s="1"/>
  <c r="DC46" i="2"/>
  <c r="X46" i="2" s="1"/>
  <c r="Y46" i="2"/>
  <c r="Z46" i="2" s="1"/>
  <c r="DD46" i="2" s="1"/>
  <c r="DC19" i="2"/>
  <c r="X19" i="2" s="1"/>
  <c r="Y19" i="2"/>
  <c r="Z19" i="2" s="1"/>
  <c r="DD19" i="2" s="1"/>
  <c r="DC10" i="2"/>
  <c r="X10" i="2" s="1"/>
  <c r="Y10" i="2"/>
  <c r="Z10" i="2" s="1"/>
  <c r="DD10" i="2" s="1"/>
  <c r="Y31" i="2"/>
  <c r="Z31" i="2" s="1"/>
  <c r="DD31" i="2" s="1"/>
  <c r="DC31" i="2"/>
  <c r="X31" i="2" s="1"/>
  <c r="Y12" i="2"/>
  <c r="Z12" i="2" s="1"/>
  <c r="DD12" i="2" s="1"/>
  <c r="DC12" i="2"/>
  <c r="X12" i="2" s="1"/>
  <c r="Y94" i="2" l="1"/>
  <c r="Z94" i="2" s="1"/>
  <c r="DD94" i="2" s="1"/>
  <c r="DC94" i="2"/>
  <c r="X94" i="2" s="1"/>
  <c r="Y115" i="2"/>
  <c r="Z115" i="2" s="1"/>
  <c r="DD115" i="2" s="1"/>
  <c r="DC115" i="2"/>
  <c r="X115" i="2" s="1"/>
  <c r="Y41" i="2"/>
  <c r="Z41" i="2" s="1"/>
  <c r="DD41" i="2" s="1"/>
  <c r="DC41" i="2"/>
  <c r="X41" i="2" s="1"/>
  <c r="DC20" i="2"/>
  <c r="X20" i="2" s="1"/>
  <c r="Y20" i="2"/>
  <c r="Z20" i="2" s="1"/>
  <c r="DD20" i="2" s="1"/>
  <c r="DE113" i="2"/>
  <c r="AB113" i="2" s="1"/>
  <c r="AC113" i="2"/>
  <c r="AD113" i="2" s="1"/>
  <c r="DF113" i="2" s="1"/>
  <c r="DE37" i="2"/>
  <c r="AB37" i="2" s="1"/>
  <c r="AC37" i="2"/>
  <c r="AD37" i="2" s="1"/>
  <c r="DF37" i="2" s="1"/>
  <c r="DC33" i="2"/>
  <c r="X33" i="2" s="1"/>
  <c r="Y33" i="2"/>
  <c r="Z33" i="2" s="1"/>
  <c r="DD33" i="2" s="1"/>
  <c r="Y106" i="2"/>
  <c r="Z106" i="2" s="1"/>
  <c r="DD106" i="2" s="1"/>
  <c r="DC106" i="2"/>
  <c r="X106" i="2" s="1"/>
  <c r="Y143" i="2"/>
  <c r="Z143" i="2" s="1"/>
  <c r="DD143" i="2" s="1"/>
  <c r="DC143" i="2"/>
  <c r="X143" i="2" s="1"/>
  <c r="AG130" i="2"/>
  <c r="DG130" i="2"/>
  <c r="AF130" i="2" s="1"/>
  <c r="Y32" i="2"/>
  <c r="Z32" i="2" s="1"/>
  <c r="DD32" i="2" s="1"/>
  <c r="DC32" i="2"/>
  <c r="X32" i="2" s="1"/>
  <c r="Y71" i="2"/>
  <c r="Z71" i="2" s="1"/>
  <c r="DD71" i="2" s="1"/>
  <c r="DC71" i="2"/>
  <c r="X71" i="2" s="1"/>
  <c r="DC61" i="2"/>
  <c r="X61" i="2" s="1"/>
  <c r="Y61" i="2"/>
  <c r="Z61" i="2" s="1"/>
  <c r="DD61" i="2" s="1"/>
  <c r="AC35" i="2"/>
  <c r="AD35" i="2" s="1"/>
  <c r="DF35" i="2" s="1"/>
  <c r="DE35" i="2"/>
  <c r="AB35" i="2" s="1"/>
  <c r="DC70" i="2"/>
  <c r="X70" i="2" s="1"/>
  <c r="Y70" i="2"/>
  <c r="Z70" i="2" s="1"/>
  <c r="DD70" i="2" s="1"/>
  <c r="DG121" i="2"/>
  <c r="AF121" i="2" s="1"/>
  <c r="AG121" i="2"/>
  <c r="AC119" i="2"/>
  <c r="AD119" i="2" s="1"/>
  <c r="DF119" i="2" s="1"/>
  <c r="DE119" i="2"/>
  <c r="AB119" i="2" s="1"/>
  <c r="AG67" i="2"/>
  <c r="DG67" i="2"/>
  <c r="AF67" i="2" s="1"/>
  <c r="DE132" i="2"/>
  <c r="AB132" i="2" s="1"/>
  <c r="AC132" i="2"/>
  <c r="AD132" i="2" s="1"/>
  <c r="DF132" i="2" s="1"/>
  <c r="DE6" i="2"/>
  <c r="AB6" i="2" s="1"/>
  <c r="AC6" i="2"/>
  <c r="AD6" i="2" s="1"/>
  <c r="DF6" i="2" s="1"/>
  <c r="AC26" i="2"/>
  <c r="AD26" i="2" s="1"/>
  <c r="DF26" i="2" s="1"/>
  <c r="DE26" i="2"/>
  <c r="AB26" i="2" s="1"/>
  <c r="DG84" i="2"/>
  <c r="AF84" i="2" s="1"/>
  <c r="AG84" i="2"/>
  <c r="AC43" i="2"/>
  <c r="AD43" i="2" s="1"/>
  <c r="DF43" i="2" s="1"/>
  <c r="DE43" i="2"/>
  <c r="AB43" i="2" s="1"/>
  <c r="Y136" i="2"/>
  <c r="Z136" i="2" s="1"/>
  <c r="DD136" i="2" s="1"/>
  <c r="DC136" i="2"/>
  <c r="X136" i="2" s="1"/>
  <c r="DC95" i="2"/>
  <c r="X95" i="2" s="1"/>
  <c r="Y95" i="2"/>
  <c r="Z95" i="2" s="1"/>
  <c r="DD95" i="2" s="1"/>
  <c r="DC85" i="2"/>
  <c r="X85" i="2" s="1"/>
  <c r="Y85" i="2"/>
  <c r="Z85" i="2" s="1"/>
  <c r="DD85" i="2" s="1"/>
  <c r="AG24" i="2"/>
  <c r="DG24" i="2"/>
  <c r="AF24" i="2" s="1"/>
  <c r="DC118" i="2"/>
  <c r="X118" i="2" s="1"/>
  <c r="Y118" i="2"/>
  <c r="Z118" i="2" s="1"/>
  <c r="DD118" i="2" s="1"/>
  <c r="DC89" i="2"/>
  <c r="X89" i="2" s="1"/>
  <c r="Y89" i="2"/>
  <c r="Z89" i="2" s="1"/>
  <c r="DD89" i="2" s="1"/>
  <c r="DC138" i="2"/>
  <c r="X138" i="2" s="1"/>
  <c r="Y138" i="2"/>
  <c r="Z138" i="2" s="1"/>
  <c r="DD138" i="2" s="1"/>
  <c r="DE52" i="2"/>
  <c r="AB52" i="2" s="1"/>
  <c r="AC52" i="2"/>
  <c r="AD52" i="2" s="1"/>
  <c r="DF52" i="2" s="1"/>
  <c r="DE126" i="2"/>
  <c r="AB126" i="2" s="1"/>
  <c r="AC126" i="2"/>
  <c r="AD126" i="2" s="1"/>
  <c r="DF126" i="2" s="1"/>
  <c r="AC18" i="2"/>
  <c r="AD18" i="2" s="1"/>
  <c r="DF18" i="2" s="1"/>
  <c r="DE18" i="2"/>
  <c r="AB18" i="2" s="1"/>
  <c r="DE77" i="2"/>
  <c r="AB77" i="2" s="1"/>
  <c r="AC77" i="2"/>
  <c r="AD77" i="2" s="1"/>
  <c r="DF77" i="2" s="1"/>
  <c r="Y123" i="2"/>
  <c r="Z123" i="2" s="1"/>
  <c r="DD123" i="2" s="1"/>
  <c r="DC123" i="2"/>
  <c r="X123" i="2" s="1"/>
  <c r="DE50" i="2"/>
  <c r="AB50" i="2" s="1"/>
  <c r="AC50" i="2"/>
  <c r="AD50" i="2" s="1"/>
  <c r="DF50" i="2" s="1"/>
  <c r="DE149" i="2"/>
  <c r="AB149" i="2" s="1"/>
  <c r="AC149" i="2"/>
  <c r="AD149" i="2" s="1"/>
  <c r="DF149" i="2" s="1"/>
  <c r="DE140" i="2"/>
  <c r="AB140" i="2" s="1"/>
  <c r="AC140" i="2"/>
  <c r="AD140" i="2" s="1"/>
  <c r="DF140" i="2" s="1"/>
  <c r="DG75" i="2"/>
  <c r="AF75" i="2" s="1"/>
  <c r="AG75" i="2"/>
  <c r="Y125" i="2"/>
  <c r="Z125" i="2" s="1"/>
  <c r="DD125" i="2" s="1"/>
  <c r="DC125" i="2"/>
  <c r="X125" i="2" s="1"/>
  <c r="DC49" i="2"/>
  <c r="X49" i="2" s="1"/>
  <c r="Y49" i="2"/>
  <c r="Z49" i="2" s="1"/>
  <c r="DD49" i="2" s="1"/>
  <c r="DE134" i="2"/>
  <c r="AB134" i="2" s="1"/>
  <c r="AC134" i="2"/>
  <c r="AD134" i="2" s="1"/>
  <c r="DF134" i="2" s="1"/>
  <c r="DE139" i="2"/>
  <c r="AB139" i="2" s="1"/>
  <c r="AC139" i="2"/>
  <c r="AD139" i="2" s="1"/>
  <c r="DF139" i="2" s="1"/>
  <c r="DC81" i="2"/>
  <c r="X81" i="2" s="1"/>
  <c r="Y81" i="2"/>
  <c r="Z81" i="2" s="1"/>
  <c r="DD81" i="2" s="1"/>
  <c r="DE38" i="2"/>
  <c r="AB38" i="2" s="1"/>
  <c r="AC38" i="2"/>
  <c r="AD38" i="2" s="1"/>
  <c r="DF38" i="2" s="1"/>
  <c r="DE108" i="2"/>
  <c r="AB108" i="2" s="1"/>
  <c r="AC108" i="2"/>
  <c r="AD108" i="2" s="1"/>
  <c r="DF108" i="2" s="1"/>
  <c r="DC80" i="2"/>
  <c r="X80" i="2" s="1"/>
  <c r="Y80" i="2"/>
  <c r="Z80" i="2" s="1"/>
  <c r="DD80" i="2" s="1"/>
  <c r="DE73" i="2"/>
  <c r="AB73" i="2" s="1"/>
  <c r="AC73" i="2"/>
  <c r="AD73" i="2" s="1"/>
  <c r="DF73" i="2" s="1"/>
  <c r="DE104" i="2"/>
  <c r="AB104" i="2" s="1"/>
  <c r="AC104" i="2"/>
  <c r="AD104" i="2" s="1"/>
  <c r="DF104" i="2" s="1"/>
  <c r="AC5" i="2"/>
  <c r="AD5" i="2" s="1"/>
  <c r="DF5" i="2" s="1"/>
  <c r="DE5" i="2"/>
  <c r="AB5" i="2" s="1"/>
  <c r="DE14" i="2"/>
  <c r="AB14" i="2" s="1"/>
  <c r="AC14" i="2"/>
  <c r="AD14" i="2" s="1"/>
  <c r="DF14" i="2" s="1"/>
  <c r="DE36" i="2"/>
  <c r="AB36" i="2" s="1"/>
  <c r="AC36" i="2"/>
  <c r="AD36" i="2" s="1"/>
  <c r="DF36" i="2" s="1"/>
  <c r="DE19" i="2"/>
  <c r="AB19" i="2" s="1"/>
  <c r="AC19" i="2"/>
  <c r="AD19" i="2" s="1"/>
  <c r="DF19" i="2" s="1"/>
  <c r="DC76" i="2"/>
  <c r="X76" i="2" s="1"/>
  <c r="Y76" i="2"/>
  <c r="Z76" i="2" s="1"/>
  <c r="DD76" i="2" s="1"/>
  <c r="DE8" i="2"/>
  <c r="AB8" i="2" s="1"/>
  <c r="AC8" i="2"/>
  <c r="AD8" i="2" s="1"/>
  <c r="DF8" i="2" s="1"/>
  <c r="Y42" i="2"/>
  <c r="Z42" i="2" s="1"/>
  <c r="DD42" i="2" s="1"/>
  <c r="DC42" i="2"/>
  <c r="X42" i="2" s="1"/>
  <c r="Y141" i="2"/>
  <c r="Z141" i="2" s="1"/>
  <c r="DD141" i="2" s="1"/>
  <c r="DC141" i="2"/>
  <c r="X141" i="2" s="1"/>
  <c r="DE16" i="2"/>
  <c r="AB16" i="2" s="1"/>
  <c r="AC16" i="2"/>
  <c r="AD16" i="2" s="1"/>
  <c r="DF16" i="2" s="1"/>
  <c r="DE13" i="2"/>
  <c r="AB13" i="2" s="1"/>
  <c r="AC13" i="2"/>
  <c r="AD13" i="2" s="1"/>
  <c r="DF13" i="2" s="1"/>
  <c r="AC110" i="2"/>
  <c r="AD110" i="2" s="1"/>
  <c r="DF110" i="2" s="1"/>
  <c r="DE110" i="2"/>
  <c r="AB110" i="2" s="1"/>
  <c r="Y128" i="2"/>
  <c r="Z128" i="2" s="1"/>
  <c r="DD128" i="2" s="1"/>
  <c r="DC128" i="2"/>
  <c r="X128" i="2" s="1"/>
  <c r="AC46" i="2"/>
  <c r="AD46" i="2" s="1"/>
  <c r="DF46" i="2" s="1"/>
  <c r="DE46" i="2"/>
  <c r="AB46" i="2" s="1"/>
  <c r="DC87" i="2"/>
  <c r="X87" i="2" s="1"/>
  <c r="Y87" i="2"/>
  <c r="Z87" i="2" s="1"/>
  <c r="DD87" i="2" s="1"/>
  <c r="DE100" i="2"/>
  <c r="AB100" i="2" s="1"/>
  <c r="AC100" i="2"/>
  <c r="AD100" i="2" s="1"/>
  <c r="DF100" i="2" s="1"/>
  <c r="DC147" i="2"/>
  <c r="X147" i="2" s="1"/>
  <c r="Y147" i="2"/>
  <c r="Z147" i="2" s="1"/>
  <c r="DD147" i="2" s="1"/>
  <c r="DG21" i="2"/>
  <c r="AF21" i="2" s="1"/>
  <c r="AG21" i="2"/>
  <c r="DE27" i="2"/>
  <c r="AB27" i="2" s="1"/>
  <c r="AC27" i="2"/>
  <c r="AD27" i="2" s="1"/>
  <c r="DF27" i="2" s="1"/>
  <c r="DC34" i="2"/>
  <c r="X34" i="2" s="1"/>
  <c r="Y34" i="2"/>
  <c r="Z34" i="2" s="1"/>
  <c r="DD34" i="2" s="1"/>
  <c r="AC96" i="2"/>
  <c r="AD96" i="2" s="1"/>
  <c r="DF96" i="2" s="1"/>
  <c r="DE96" i="2"/>
  <c r="AB96" i="2" s="1"/>
  <c r="AG82" i="2"/>
  <c r="DG82" i="2"/>
  <c r="AF82" i="2" s="1"/>
  <c r="DG107" i="2"/>
  <c r="AF107" i="2" s="1"/>
  <c r="AG107" i="2"/>
  <c r="AC2" i="2"/>
  <c r="AD2" i="2" s="1"/>
  <c r="DF2" i="2" s="1"/>
  <c r="DE2" i="2"/>
  <c r="AB2" i="2" s="1"/>
  <c r="AG55" i="2"/>
  <c r="DG55" i="2"/>
  <c r="AF55" i="2" s="1"/>
  <c r="Y88" i="2"/>
  <c r="Z88" i="2" s="1"/>
  <c r="DD88" i="2" s="1"/>
  <c r="DC88" i="2"/>
  <c r="X88" i="2" s="1"/>
  <c r="DE30" i="2"/>
  <c r="AB30" i="2" s="1"/>
  <c r="AC30" i="2"/>
  <c r="AD30" i="2" s="1"/>
  <c r="DF30" i="2" s="1"/>
  <c r="DC45" i="2"/>
  <c r="X45" i="2" s="1"/>
  <c r="Y45" i="2"/>
  <c r="Z45" i="2" s="1"/>
  <c r="DD45" i="2" s="1"/>
  <c r="DE54" i="2"/>
  <c r="AB54" i="2" s="1"/>
  <c r="AC54" i="2"/>
  <c r="AD54" i="2" s="1"/>
  <c r="DF54" i="2" s="1"/>
  <c r="Y150" i="2"/>
  <c r="Z150" i="2" s="1"/>
  <c r="DD150" i="2" s="1"/>
  <c r="DC150" i="2"/>
  <c r="X150" i="2" s="1"/>
  <c r="AC103" i="2"/>
  <c r="AD103" i="2" s="1"/>
  <c r="DF103" i="2" s="1"/>
  <c r="DE103" i="2"/>
  <c r="AB103" i="2" s="1"/>
  <c r="AG135" i="2"/>
  <c r="DG135" i="2"/>
  <c r="AF135" i="2" s="1"/>
  <c r="DE11" i="2"/>
  <c r="AB11" i="2" s="1"/>
  <c r="AC11" i="2"/>
  <c r="AD11" i="2" s="1"/>
  <c r="DF11" i="2" s="1"/>
  <c r="DE68" i="2"/>
  <c r="AB68" i="2" s="1"/>
  <c r="AC68" i="2"/>
  <c r="AD68" i="2" s="1"/>
  <c r="DF68" i="2" s="1"/>
  <c r="AC17" i="2"/>
  <c r="AD17" i="2" s="1"/>
  <c r="DF17" i="2" s="1"/>
  <c r="DE17" i="2"/>
  <c r="AB17" i="2" s="1"/>
  <c r="DE90" i="2"/>
  <c r="AB90" i="2" s="1"/>
  <c r="AC90" i="2"/>
  <c r="AD90" i="2" s="1"/>
  <c r="DF90" i="2" s="1"/>
  <c r="AG22" i="2"/>
  <c r="DG22" i="2"/>
  <c r="AF22" i="2" s="1"/>
  <c r="AC98" i="2"/>
  <c r="AD98" i="2" s="1"/>
  <c r="DF98" i="2" s="1"/>
  <c r="DE98" i="2"/>
  <c r="AB98" i="2" s="1"/>
  <c r="DG127" i="2"/>
  <c r="AF127" i="2" s="1"/>
  <c r="AG127" i="2"/>
  <c r="DC148" i="2"/>
  <c r="X148" i="2" s="1"/>
  <c r="Y148" i="2"/>
  <c r="Z148" i="2" s="1"/>
  <c r="DD148" i="2" s="1"/>
  <c r="AC133" i="2"/>
  <c r="AD133" i="2" s="1"/>
  <c r="DF133" i="2" s="1"/>
  <c r="DE133" i="2"/>
  <c r="AB133" i="2" s="1"/>
  <c r="AC40" i="2"/>
  <c r="AD40" i="2" s="1"/>
  <c r="DF40" i="2" s="1"/>
  <c r="DE40" i="2"/>
  <c r="AB40" i="2" s="1"/>
  <c r="AG47" i="2"/>
  <c r="DG47" i="2"/>
  <c r="AF47" i="2" s="1"/>
  <c r="DE144" i="2"/>
  <c r="AB144" i="2" s="1"/>
  <c r="AC144" i="2"/>
  <c r="AD144" i="2" s="1"/>
  <c r="DF144" i="2" s="1"/>
  <c r="DE53" i="2"/>
  <c r="AB53" i="2" s="1"/>
  <c r="AC53" i="2"/>
  <c r="AD53" i="2" s="1"/>
  <c r="DF53" i="2" s="1"/>
  <c r="DG79" i="2"/>
  <c r="AF79" i="2" s="1"/>
  <c r="AG79" i="2"/>
  <c r="DE63" i="2"/>
  <c r="AB63" i="2" s="1"/>
  <c r="AC63" i="2"/>
  <c r="AD63" i="2" s="1"/>
  <c r="DF63" i="2" s="1"/>
  <c r="DC102" i="2"/>
  <c r="X102" i="2" s="1"/>
  <c r="Y102" i="2"/>
  <c r="Z102" i="2" s="1"/>
  <c r="DD102" i="2" s="1"/>
  <c r="DE31" i="2"/>
  <c r="AB31" i="2" s="1"/>
  <c r="AC31" i="2"/>
  <c r="AD31" i="2" s="1"/>
  <c r="DF31" i="2" s="1"/>
  <c r="DC39" i="2"/>
  <c r="X39" i="2" s="1"/>
  <c r="Y39" i="2"/>
  <c r="Z39" i="2" s="1"/>
  <c r="DD39" i="2" s="1"/>
  <c r="Y29" i="2"/>
  <c r="Z29" i="2" s="1"/>
  <c r="DD29" i="2" s="1"/>
  <c r="DC29" i="2"/>
  <c r="X29" i="2" s="1"/>
  <c r="AC59" i="2"/>
  <c r="AD59" i="2" s="1"/>
  <c r="DF59" i="2" s="1"/>
  <c r="DE59" i="2"/>
  <c r="AB59" i="2" s="1"/>
  <c r="DE28" i="2"/>
  <c r="AB28" i="2" s="1"/>
  <c r="AC28" i="2"/>
  <c r="AD28" i="2" s="1"/>
  <c r="DF28" i="2" s="1"/>
  <c r="AC4" i="2"/>
  <c r="AD4" i="2" s="1"/>
  <c r="DF4" i="2" s="1"/>
  <c r="DE4" i="2"/>
  <c r="AB4" i="2" s="1"/>
  <c r="AG86" i="2"/>
  <c r="DG86" i="2"/>
  <c r="AF86" i="2" s="1"/>
  <c r="DC91" i="2"/>
  <c r="X91" i="2" s="1"/>
  <c r="Y91" i="2"/>
  <c r="Z91" i="2" s="1"/>
  <c r="DD91" i="2" s="1"/>
  <c r="DC124" i="2"/>
  <c r="X124" i="2" s="1"/>
  <c r="Y124" i="2"/>
  <c r="Z124" i="2" s="1"/>
  <c r="DD124" i="2" s="1"/>
  <c r="DG48" i="2"/>
  <c r="AF48" i="2" s="1"/>
  <c r="AG48" i="2"/>
  <c r="DC109" i="2"/>
  <c r="X109" i="2" s="1"/>
  <c r="Y109" i="2"/>
  <c r="Z109" i="2" s="1"/>
  <c r="DD109" i="2" s="1"/>
  <c r="DC65" i="2"/>
  <c r="X65" i="2" s="1"/>
  <c r="Y65" i="2"/>
  <c r="Z65" i="2" s="1"/>
  <c r="DD65" i="2" s="1"/>
  <c r="DE3" i="2"/>
  <c r="AB3" i="2" s="1"/>
  <c r="AC3" i="2"/>
  <c r="AD3" i="2" s="1"/>
  <c r="DF3" i="2" s="1"/>
  <c r="DC97" i="2"/>
  <c r="X97" i="2" s="1"/>
  <c r="Y97" i="2"/>
  <c r="Z97" i="2" s="1"/>
  <c r="DD97" i="2" s="1"/>
  <c r="DE92" i="2"/>
  <c r="AB92" i="2" s="1"/>
  <c r="AC92" i="2"/>
  <c r="AD92" i="2" s="1"/>
  <c r="DF92" i="2" s="1"/>
  <c r="Y62" i="2"/>
  <c r="Z62" i="2" s="1"/>
  <c r="DD62" i="2" s="1"/>
  <c r="DC62" i="2"/>
  <c r="X62" i="2" s="1"/>
  <c r="AC7" i="2"/>
  <c r="AD7" i="2" s="1"/>
  <c r="DF7" i="2" s="1"/>
  <c r="DE7" i="2"/>
  <c r="AB7" i="2" s="1"/>
  <c r="DE93" i="2"/>
  <c r="AB93" i="2" s="1"/>
  <c r="AC93" i="2"/>
  <c r="AD93" i="2" s="1"/>
  <c r="DF93" i="2" s="1"/>
  <c r="DC99" i="2"/>
  <c r="X99" i="2" s="1"/>
  <c r="Y99" i="2"/>
  <c r="Z99" i="2" s="1"/>
  <c r="DD99" i="2" s="1"/>
  <c r="AC58" i="2"/>
  <c r="AD58" i="2" s="1"/>
  <c r="DF58" i="2" s="1"/>
  <c r="DE58" i="2"/>
  <c r="AB58" i="2" s="1"/>
  <c r="AC83" i="2"/>
  <c r="AD83" i="2" s="1"/>
  <c r="DF83" i="2" s="1"/>
  <c r="DE83" i="2"/>
  <c r="AB83" i="2" s="1"/>
  <c r="Y117" i="2"/>
  <c r="Z117" i="2" s="1"/>
  <c r="DD117" i="2" s="1"/>
  <c r="DC117" i="2"/>
  <c r="X117" i="2" s="1"/>
  <c r="AC12" i="2"/>
  <c r="AD12" i="2" s="1"/>
  <c r="DF12" i="2" s="1"/>
  <c r="DE12" i="2"/>
  <c r="AB12" i="2" s="1"/>
  <c r="Y146" i="2"/>
  <c r="Z146" i="2" s="1"/>
  <c r="DD146" i="2" s="1"/>
  <c r="DC146" i="2"/>
  <c r="X146" i="2" s="1"/>
  <c r="DC51" i="2"/>
  <c r="X51" i="2" s="1"/>
  <c r="Y51" i="2"/>
  <c r="Z51" i="2" s="1"/>
  <c r="DD51" i="2" s="1"/>
  <c r="Y111" i="2"/>
  <c r="Z111" i="2" s="1"/>
  <c r="DD111" i="2" s="1"/>
  <c r="DC111" i="2"/>
  <c r="X111" i="2" s="1"/>
  <c r="DC60" i="2"/>
  <c r="X60" i="2" s="1"/>
  <c r="Y60" i="2"/>
  <c r="Z60" i="2" s="1"/>
  <c r="DD60" i="2" s="1"/>
  <c r="DE57" i="2"/>
  <c r="AB57" i="2" s="1"/>
  <c r="AC57" i="2"/>
  <c r="AD57" i="2" s="1"/>
  <c r="DF57" i="2" s="1"/>
  <c r="AG120" i="2"/>
  <c r="DG120" i="2"/>
  <c r="AF120" i="2" s="1"/>
  <c r="AC105" i="2"/>
  <c r="AD105" i="2" s="1"/>
  <c r="DF105" i="2" s="1"/>
  <c r="DE105" i="2"/>
  <c r="AB105" i="2" s="1"/>
  <c r="Y74" i="2"/>
  <c r="Z74" i="2" s="1"/>
  <c r="DD74" i="2" s="1"/>
  <c r="DC74" i="2"/>
  <c r="X74" i="2" s="1"/>
  <c r="AC10" i="2"/>
  <c r="AD10" i="2" s="1"/>
  <c r="DF10" i="2" s="1"/>
  <c r="DE10" i="2"/>
  <c r="AB10" i="2" s="1"/>
  <c r="AC129" i="2"/>
  <c r="AD129" i="2" s="1"/>
  <c r="DF129" i="2" s="1"/>
  <c r="DE129" i="2"/>
  <c r="AB129" i="2" s="1"/>
  <c r="DC112" i="2"/>
  <c r="X112" i="2" s="1"/>
  <c r="Y112" i="2"/>
  <c r="Z112" i="2" s="1"/>
  <c r="DD112" i="2" s="1"/>
  <c r="DE9" i="2"/>
  <c r="AB9" i="2" s="1"/>
  <c r="AC9" i="2"/>
  <c r="AD9" i="2" s="1"/>
  <c r="DF9" i="2" s="1"/>
  <c r="Y56" i="2"/>
  <c r="Z56" i="2" s="1"/>
  <c r="DD56" i="2" s="1"/>
  <c r="DC56" i="2"/>
  <c r="X56" i="2" s="1"/>
  <c r="AC25" i="2"/>
  <c r="AD25" i="2" s="1"/>
  <c r="DF25" i="2" s="1"/>
  <c r="DE25" i="2"/>
  <c r="AB25" i="2" s="1"/>
  <c r="DE101" i="2"/>
  <c r="AB101" i="2" s="1"/>
  <c r="AC101" i="2"/>
  <c r="AD101" i="2" s="1"/>
  <c r="DF101" i="2" s="1"/>
  <c r="DC122" i="2"/>
  <c r="X122" i="2" s="1"/>
  <c r="Y122" i="2"/>
  <c r="Z122" i="2" s="1"/>
  <c r="DD122" i="2" s="1"/>
  <c r="DE114" i="2"/>
  <c r="AB114" i="2" s="1"/>
  <c r="AC114" i="2"/>
  <c r="AD114" i="2" s="1"/>
  <c r="DF114" i="2" s="1"/>
  <c r="DE66" i="2"/>
  <c r="AB66" i="2" s="1"/>
  <c r="AC66" i="2"/>
  <c r="AD66" i="2" s="1"/>
  <c r="DF66" i="2" s="1"/>
  <c r="DE64" i="2"/>
  <c r="AB64" i="2" s="1"/>
  <c r="AC64" i="2"/>
  <c r="AD64" i="2" s="1"/>
  <c r="DF64" i="2" s="1"/>
  <c r="AC69" i="2"/>
  <c r="AD69" i="2" s="1"/>
  <c r="DF69" i="2" s="1"/>
  <c r="DE69" i="2"/>
  <c r="AB69" i="2" s="1"/>
  <c r="DE72" i="2"/>
  <c r="AB72" i="2" s="1"/>
  <c r="AC72" i="2"/>
  <c r="AD72" i="2" s="1"/>
  <c r="DF72" i="2" s="1"/>
  <c r="DE137" i="2"/>
  <c r="AB137" i="2" s="1"/>
  <c r="AC137" i="2"/>
  <c r="AD137" i="2" s="1"/>
  <c r="DF137" i="2" s="1"/>
  <c r="AC15" i="2"/>
  <c r="AD15" i="2" s="1"/>
  <c r="DF15" i="2" s="1"/>
  <c r="DE15" i="2"/>
  <c r="AB15" i="2" s="1"/>
  <c r="AC145" i="2"/>
  <c r="AD145" i="2" s="1"/>
  <c r="DF145" i="2" s="1"/>
  <c r="DE145" i="2"/>
  <c r="AB145" i="2" s="1"/>
  <c r="AC78" i="2"/>
  <c r="AD78" i="2" s="1"/>
  <c r="DF78" i="2" s="1"/>
  <c r="DE78" i="2"/>
  <c r="AB78" i="2" s="1"/>
  <c r="AC23" i="2"/>
  <c r="AD23" i="2" s="1"/>
  <c r="DF23" i="2" s="1"/>
  <c r="DE23" i="2"/>
  <c r="AB23" i="2" s="1"/>
  <c r="DG142" i="2"/>
  <c r="AF142" i="2" s="1"/>
  <c r="AG142" i="2"/>
  <c r="Y131" i="2"/>
  <c r="Z131" i="2" s="1"/>
  <c r="DD131" i="2" s="1"/>
  <c r="DC131" i="2"/>
  <c r="X131" i="2" s="1"/>
  <c r="Y116" i="2"/>
  <c r="Z116" i="2" s="1"/>
  <c r="DD116" i="2" s="1"/>
  <c r="DC116" i="2"/>
  <c r="X116" i="2" s="1"/>
  <c r="DE44" i="2"/>
  <c r="AB44" i="2" s="1"/>
  <c r="AC44" i="2"/>
  <c r="AD44" i="2" s="1"/>
  <c r="DF44" i="2" s="1"/>
  <c r="AC20" i="2" l="1"/>
  <c r="AD20" i="2" s="1"/>
  <c r="DF20" i="2" s="1"/>
  <c r="DE20" i="2"/>
  <c r="AB20" i="2" s="1"/>
  <c r="DE41" i="2"/>
  <c r="AB41" i="2" s="1"/>
  <c r="AC41" i="2"/>
  <c r="AD41" i="2" s="1"/>
  <c r="DF41" i="2" s="1"/>
  <c r="DE115" i="2"/>
  <c r="AB115" i="2" s="1"/>
  <c r="AC115" i="2"/>
  <c r="AD115" i="2" s="1"/>
  <c r="DF115" i="2" s="1"/>
  <c r="DE94" i="2"/>
  <c r="AB94" i="2" s="1"/>
  <c r="AC94" i="2"/>
  <c r="AD94" i="2" s="1"/>
  <c r="DF94" i="2" s="1"/>
  <c r="DG53" i="2"/>
  <c r="AF53" i="2" s="1"/>
  <c r="AG53" i="2"/>
  <c r="AC122" i="2"/>
  <c r="AD122" i="2" s="1"/>
  <c r="DF122" i="2" s="1"/>
  <c r="DE122" i="2"/>
  <c r="AB122" i="2" s="1"/>
  <c r="AG101" i="2"/>
  <c r="DG101" i="2"/>
  <c r="AF101" i="2" s="1"/>
  <c r="DE99" i="2"/>
  <c r="AB99" i="2" s="1"/>
  <c r="AC99" i="2"/>
  <c r="AD99" i="2" s="1"/>
  <c r="DF99" i="2" s="1"/>
  <c r="DE97" i="2"/>
  <c r="AB97" i="2" s="1"/>
  <c r="AC97" i="2"/>
  <c r="AD97" i="2" s="1"/>
  <c r="DF97" i="2" s="1"/>
  <c r="AC39" i="2"/>
  <c r="AD39" i="2" s="1"/>
  <c r="DF39" i="2" s="1"/>
  <c r="DE39" i="2"/>
  <c r="AB39" i="2" s="1"/>
  <c r="DG68" i="2"/>
  <c r="AF68" i="2" s="1"/>
  <c r="AG68" i="2"/>
  <c r="DG27" i="2"/>
  <c r="AF27" i="2" s="1"/>
  <c r="AG27" i="2"/>
  <c r="DG13" i="2"/>
  <c r="AF13" i="2" s="1"/>
  <c r="AG13" i="2"/>
  <c r="AC76" i="2"/>
  <c r="AD76" i="2" s="1"/>
  <c r="DF76" i="2" s="1"/>
  <c r="DE76" i="2"/>
  <c r="AB76" i="2" s="1"/>
  <c r="DG14" i="2"/>
  <c r="AF14" i="2" s="1"/>
  <c r="AG14" i="2"/>
  <c r="DG38" i="2"/>
  <c r="AF38" i="2" s="1"/>
  <c r="AG38" i="2"/>
  <c r="AC49" i="2"/>
  <c r="AD49" i="2" s="1"/>
  <c r="DF49" i="2" s="1"/>
  <c r="DE49" i="2"/>
  <c r="AB49" i="2" s="1"/>
  <c r="DG149" i="2"/>
  <c r="AF149" i="2" s="1"/>
  <c r="AG149" i="2"/>
  <c r="DG126" i="2"/>
  <c r="AF126" i="2" s="1"/>
  <c r="AG126" i="2"/>
  <c r="AG6" i="2"/>
  <c r="DG6" i="2"/>
  <c r="AF6" i="2" s="1"/>
  <c r="AG10" i="2"/>
  <c r="DG10" i="2"/>
  <c r="AF10" i="2" s="1"/>
  <c r="AG9" i="2"/>
  <c r="DG9" i="2"/>
  <c r="AF9" i="2" s="1"/>
  <c r="AC150" i="2"/>
  <c r="AD150" i="2" s="1"/>
  <c r="DF150" i="2" s="1"/>
  <c r="DE150" i="2"/>
  <c r="AB150" i="2" s="1"/>
  <c r="DE136" i="2"/>
  <c r="AB136" i="2" s="1"/>
  <c r="AC136" i="2"/>
  <c r="AD136" i="2" s="1"/>
  <c r="DF136" i="2" s="1"/>
  <c r="DE106" i="2"/>
  <c r="AB106" i="2" s="1"/>
  <c r="AC106" i="2"/>
  <c r="AD106" i="2" s="1"/>
  <c r="DF106" i="2" s="1"/>
  <c r="DE56" i="2"/>
  <c r="AB56" i="2" s="1"/>
  <c r="AC56" i="2"/>
  <c r="AD56" i="2" s="1"/>
  <c r="DF56" i="2" s="1"/>
  <c r="AG145" i="2"/>
  <c r="DG145" i="2"/>
  <c r="AF145" i="2" s="1"/>
  <c r="DE111" i="2"/>
  <c r="AB111" i="2" s="1"/>
  <c r="AC111" i="2"/>
  <c r="AD111" i="2" s="1"/>
  <c r="DF111" i="2" s="1"/>
  <c r="DG4" i="2"/>
  <c r="AF4" i="2" s="1"/>
  <c r="AG4" i="2"/>
  <c r="DG133" i="2"/>
  <c r="AF133" i="2" s="1"/>
  <c r="AG133" i="2"/>
  <c r="DG98" i="2"/>
  <c r="AF98" i="2" s="1"/>
  <c r="AG98" i="2"/>
  <c r="DE88" i="2"/>
  <c r="AB88" i="2" s="1"/>
  <c r="AC88" i="2"/>
  <c r="AD88" i="2" s="1"/>
  <c r="DF88" i="2" s="1"/>
  <c r="DG64" i="2"/>
  <c r="AF64" i="2" s="1"/>
  <c r="AG64" i="2"/>
  <c r="DE51" i="2"/>
  <c r="AB51" i="2" s="1"/>
  <c r="AC51" i="2"/>
  <c r="AD51" i="2" s="1"/>
  <c r="DF51" i="2" s="1"/>
  <c r="DG93" i="2"/>
  <c r="AF93" i="2" s="1"/>
  <c r="AG93" i="2"/>
  <c r="AG3" i="2"/>
  <c r="DG3" i="2"/>
  <c r="AF3" i="2" s="1"/>
  <c r="DE124" i="2"/>
  <c r="AB124" i="2" s="1"/>
  <c r="AC124" i="2"/>
  <c r="AD124" i="2" s="1"/>
  <c r="DF124" i="2" s="1"/>
  <c r="AG28" i="2"/>
  <c r="DG28" i="2"/>
  <c r="AF28" i="2" s="1"/>
  <c r="AG31" i="2"/>
  <c r="DG31" i="2"/>
  <c r="AF31" i="2" s="1"/>
  <c r="AC148" i="2"/>
  <c r="AD148" i="2" s="1"/>
  <c r="DF148" i="2" s="1"/>
  <c r="DE148" i="2"/>
  <c r="AB148" i="2" s="1"/>
  <c r="AG11" i="2"/>
  <c r="DG11" i="2"/>
  <c r="AF11" i="2" s="1"/>
  <c r="AC45" i="2"/>
  <c r="AD45" i="2" s="1"/>
  <c r="DF45" i="2" s="1"/>
  <c r="DE45" i="2"/>
  <c r="AB45" i="2" s="1"/>
  <c r="DE87" i="2"/>
  <c r="AB87" i="2" s="1"/>
  <c r="AC87" i="2"/>
  <c r="AD87" i="2" s="1"/>
  <c r="DF87" i="2" s="1"/>
  <c r="AG16" i="2"/>
  <c r="DG16" i="2"/>
  <c r="AF16" i="2" s="1"/>
  <c r="DG73" i="2"/>
  <c r="AF73" i="2" s="1"/>
  <c r="AG73" i="2"/>
  <c r="AG50" i="2"/>
  <c r="DG50" i="2"/>
  <c r="AF50" i="2" s="1"/>
  <c r="DG52" i="2"/>
  <c r="AF52" i="2" s="1"/>
  <c r="AG52" i="2"/>
  <c r="DE118" i="2"/>
  <c r="AB118" i="2" s="1"/>
  <c r="AC118" i="2"/>
  <c r="AD118" i="2" s="1"/>
  <c r="DF118" i="2" s="1"/>
  <c r="DG132" i="2"/>
  <c r="AF132" i="2" s="1"/>
  <c r="AG132" i="2"/>
  <c r="DE70" i="2"/>
  <c r="AB70" i="2" s="1"/>
  <c r="AC70" i="2"/>
  <c r="AD70" i="2" s="1"/>
  <c r="DF70" i="2" s="1"/>
  <c r="AC109" i="2"/>
  <c r="AD109" i="2" s="1"/>
  <c r="DF109" i="2" s="1"/>
  <c r="DE109" i="2"/>
  <c r="AB109" i="2" s="1"/>
  <c r="DE131" i="2"/>
  <c r="AB131" i="2" s="1"/>
  <c r="AC131" i="2"/>
  <c r="AD131" i="2" s="1"/>
  <c r="DF131" i="2" s="1"/>
  <c r="DE116" i="2"/>
  <c r="AB116" i="2" s="1"/>
  <c r="AC116" i="2"/>
  <c r="AD116" i="2" s="1"/>
  <c r="DF116" i="2" s="1"/>
  <c r="AG15" i="2"/>
  <c r="DG15" i="2"/>
  <c r="AF15" i="2" s="1"/>
  <c r="AG25" i="2"/>
  <c r="DG25" i="2"/>
  <c r="AF25" i="2" s="1"/>
  <c r="DG129" i="2"/>
  <c r="AF129" i="2" s="1"/>
  <c r="AG129" i="2"/>
  <c r="DG105" i="2"/>
  <c r="AF105" i="2" s="1"/>
  <c r="AG105" i="2"/>
  <c r="DG83" i="2"/>
  <c r="AF83" i="2" s="1"/>
  <c r="AG83" i="2"/>
  <c r="DG5" i="2"/>
  <c r="AF5" i="2" s="1"/>
  <c r="AG5" i="2"/>
  <c r="DG43" i="2"/>
  <c r="AF43" i="2" s="1"/>
  <c r="AG43" i="2"/>
  <c r="DE71" i="2"/>
  <c r="AB71" i="2" s="1"/>
  <c r="AC71" i="2"/>
  <c r="AD71" i="2" s="1"/>
  <c r="DF71" i="2" s="1"/>
  <c r="AG144" i="2"/>
  <c r="DG144" i="2"/>
  <c r="AF144" i="2" s="1"/>
  <c r="DG90" i="2"/>
  <c r="AF90" i="2" s="1"/>
  <c r="AG90" i="2"/>
  <c r="AC147" i="2"/>
  <c r="AD147" i="2" s="1"/>
  <c r="DF147" i="2" s="1"/>
  <c r="DE147" i="2"/>
  <c r="AB147" i="2" s="1"/>
  <c r="DG19" i="2"/>
  <c r="AF19" i="2" s="1"/>
  <c r="AG19" i="2"/>
  <c r="DG104" i="2"/>
  <c r="AF104" i="2" s="1"/>
  <c r="AG104" i="2"/>
  <c r="DE81" i="2"/>
  <c r="AB81" i="2" s="1"/>
  <c r="AC81" i="2"/>
  <c r="AD81" i="2" s="1"/>
  <c r="DF81" i="2" s="1"/>
  <c r="AC33" i="2"/>
  <c r="AD33" i="2" s="1"/>
  <c r="DF33" i="2" s="1"/>
  <c r="DE33" i="2"/>
  <c r="AB33" i="2" s="1"/>
  <c r="AG96" i="2"/>
  <c r="DG96" i="2"/>
  <c r="AF96" i="2" s="1"/>
  <c r="AG46" i="2"/>
  <c r="DG46" i="2"/>
  <c r="AF46" i="2" s="1"/>
  <c r="DE141" i="2"/>
  <c r="AB141" i="2" s="1"/>
  <c r="AC141" i="2"/>
  <c r="AD141" i="2" s="1"/>
  <c r="DF141" i="2" s="1"/>
  <c r="AC125" i="2"/>
  <c r="AD125" i="2" s="1"/>
  <c r="DF125" i="2" s="1"/>
  <c r="DE125" i="2"/>
  <c r="AB125" i="2" s="1"/>
  <c r="AC123" i="2"/>
  <c r="AD123" i="2" s="1"/>
  <c r="DF123" i="2" s="1"/>
  <c r="DE123" i="2"/>
  <c r="AB123" i="2" s="1"/>
  <c r="AG35" i="2"/>
  <c r="DG35" i="2"/>
  <c r="AF35" i="2" s="1"/>
  <c r="DE32" i="2"/>
  <c r="AB32" i="2" s="1"/>
  <c r="AC32" i="2"/>
  <c r="AD32" i="2" s="1"/>
  <c r="DF32" i="2" s="1"/>
  <c r="AG57" i="2"/>
  <c r="DG57" i="2"/>
  <c r="AF57" i="2" s="1"/>
  <c r="DG54" i="2"/>
  <c r="AF54" i="2" s="1"/>
  <c r="AG54" i="2"/>
  <c r="AG30" i="2"/>
  <c r="DG30" i="2"/>
  <c r="AF30" i="2" s="1"/>
  <c r="AC80" i="2"/>
  <c r="AD80" i="2" s="1"/>
  <c r="DF80" i="2" s="1"/>
  <c r="DE80" i="2"/>
  <c r="AB80" i="2" s="1"/>
  <c r="DG139" i="2"/>
  <c r="AF139" i="2" s="1"/>
  <c r="AG139" i="2"/>
  <c r="DG77" i="2"/>
  <c r="AF77" i="2" s="1"/>
  <c r="AG77" i="2"/>
  <c r="AC138" i="2"/>
  <c r="AD138" i="2" s="1"/>
  <c r="DF138" i="2" s="1"/>
  <c r="DE138" i="2"/>
  <c r="AB138" i="2" s="1"/>
  <c r="DE85" i="2"/>
  <c r="AB85" i="2" s="1"/>
  <c r="AC85" i="2"/>
  <c r="AD85" i="2" s="1"/>
  <c r="DF85" i="2" s="1"/>
  <c r="DG37" i="2"/>
  <c r="AF37" i="2" s="1"/>
  <c r="AG37" i="2"/>
  <c r="AG66" i="2"/>
  <c r="DG66" i="2"/>
  <c r="AF66" i="2" s="1"/>
  <c r="DG7" i="2"/>
  <c r="AF7" i="2" s="1"/>
  <c r="AG7" i="2"/>
  <c r="AG114" i="2"/>
  <c r="DG114" i="2"/>
  <c r="AF114" i="2" s="1"/>
  <c r="DG23" i="2"/>
  <c r="AF23" i="2" s="1"/>
  <c r="AG23" i="2"/>
  <c r="DG12" i="2"/>
  <c r="AF12" i="2" s="1"/>
  <c r="AG12" i="2"/>
  <c r="DG58" i="2"/>
  <c r="AF58" i="2" s="1"/>
  <c r="AG58" i="2"/>
  <c r="DE62" i="2"/>
  <c r="AB62" i="2" s="1"/>
  <c r="AC62" i="2"/>
  <c r="AD62" i="2" s="1"/>
  <c r="DF62" i="2" s="1"/>
  <c r="DG59" i="2"/>
  <c r="AF59" i="2" s="1"/>
  <c r="AG59" i="2"/>
  <c r="AG17" i="2"/>
  <c r="DG17" i="2"/>
  <c r="AF17" i="2" s="1"/>
  <c r="AG2" i="2"/>
  <c r="DG2" i="2"/>
  <c r="AF2" i="2" s="1"/>
  <c r="DE128" i="2"/>
  <c r="AB128" i="2" s="1"/>
  <c r="AC128" i="2"/>
  <c r="AD128" i="2" s="1"/>
  <c r="DF128" i="2" s="1"/>
  <c r="DE42" i="2"/>
  <c r="AB42" i="2" s="1"/>
  <c r="AC42" i="2"/>
  <c r="AD42" i="2" s="1"/>
  <c r="DF42" i="2" s="1"/>
  <c r="AG26" i="2"/>
  <c r="DG26" i="2"/>
  <c r="AF26" i="2" s="1"/>
  <c r="DE65" i="2"/>
  <c r="AB65" i="2" s="1"/>
  <c r="AC65" i="2"/>
  <c r="AD65" i="2" s="1"/>
  <c r="DF65" i="2" s="1"/>
  <c r="DE102" i="2"/>
  <c r="AB102" i="2" s="1"/>
  <c r="AC102" i="2"/>
  <c r="AD102" i="2" s="1"/>
  <c r="DF102" i="2" s="1"/>
  <c r="DG44" i="2"/>
  <c r="AF44" i="2" s="1"/>
  <c r="AG44" i="2"/>
  <c r="DE112" i="2"/>
  <c r="AB112" i="2" s="1"/>
  <c r="AC112" i="2"/>
  <c r="AD112" i="2" s="1"/>
  <c r="DF112" i="2" s="1"/>
  <c r="DE60" i="2"/>
  <c r="AB60" i="2" s="1"/>
  <c r="AC60" i="2"/>
  <c r="AD60" i="2" s="1"/>
  <c r="DF60" i="2" s="1"/>
  <c r="AG92" i="2"/>
  <c r="DG92" i="2"/>
  <c r="AF92" i="2" s="1"/>
  <c r="AG63" i="2"/>
  <c r="DG63" i="2"/>
  <c r="AF63" i="2" s="1"/>
  <c r="DE34" i="2"/>
  <c r="AB34" i="2" s="1"/>
  <c r="AC34" i="2"/>
  <c r="AD34" i="2" s="1"/>
  <c r="DF34" i="2" s="1"/>
  <c r="DG100" i="2"/>
  <c r="AF100" i="2" s="1"/>
  <c r="AG100" i="2"/>
  <c r="AG8" i="2"/>
  <c r="DG8" i="2"/>
  <c r="AF8" i="2" s="1"/>
  <c r="AG36" i="2"/>
  <c r="DG36" i="2"/>
  <c r="AF36" i="2" s="1"/>
  <c r="DG108" i="2"/>
  <c r="AF108" i="2" s="1"/>
  <c r="AG108" i="2"/>
  <c r="AG134" i="2"/>
  <c r="DG134" i="2"/>
  <c r="AF134" i="2" s="1"/>
  <c r="AG140" i="2"/>
  <c r="DG140" i="2"/>
  <c r="AF140" i="2" s="1"/>
  <c r="DE89" i="2"/>
  <c r="AB89" i="2" s="1"/>
  <c r="AC89" i="2"/>
  <c r="AD89" i="2" s="1"/>
  <c r="DF89" i="2" s="1"/>
  <c r="AC95" i="2"/>
  <c r="AD95" i="2" s="1"/>
  <c r="DF95" i="2" s="1"/>
  <c r="DE95" i="2"/>
  <c r="AB95" i="2" s="1"/>
  <c r="DE61" i="2"/>
  <c r="AB61" i="2" s="1"/>
  <c r="AC61" i="2"/>
  <c r="AD61" i="2" s="1"/>
  <c r="DF61" i="2" s="1"/>
  <c r="DG113" i="2"/>
  <c r="AF113" i="2" s="1"/>
  <c r="AG113" i="2"/>
  <c r="DG137" i="2"/>
  <c r="AF137" i="2" s="1"/>
  <c r="AG137" i="2"/>
  <c r="DE146" i="2"/>
  <c r="AB146" i="2" s="1"/>
  <c r="AC146" i="2"/>
  <c r="AD146" i="2" s="1"/>
  <c r="DF146" i="2" s="1"/>
  <c r="AG72" i="2"/>
  <c r="DG72" i="2"/>
  <c r="AF72" i="2" s="1"/>
  <c r="DE91" i="2"/>
  <c r="AB91" i="2" s="1"/>
  <c r="AC91" i="2"/>
  <c r="AD91" i="2" s="1"/>
  <c r="DF91" i="2" s="1"/>
  <c r="AG78" i="2"/>
  <c r="DG78" i="2"/>
  <c r="AF78" i="2" s="1"/>
  <c r="DG69" i="2"/>
  <c r="AF69" i="2" s="1"/>
  <c r="AG69" i="2"/>
  <c r="DE74" i="2"/>
  <c r="AB74" i="2" s="1"/>
  <c r="AC74" i="2"/>
  <c r="AD74" i="2" s="1"/>
  <c r="DF74" i="2" s="1"/>
  <c r="AC117" i="2"/>
  <c r="AD117" i="2" s="1"/>
  <c r="DF117" i="2" s="1"/>
  <c r="DE117" i="2"/>
  <c r="AB117" i="2" s="1"/>
  <c r="DE29" i="2"/>
  <c r="AB29" i="2" s="1"/>
  <c r="AC29" i="2"/>
  <c r="AD29" i="2" s="1"/>
  <c r="DF29" i="2" s="1"/>
  <c r="DG40" i="2"/>
  <c r="AF40" i="2" s="1"/>
  <c r="AG40" i="2"/>
  <c r="AG103" i="2"/>
  <c r="DG103" i="2"/>
  <c r="AF103" i="2" s="1"/>
  <c r="AG110" i="2"/>
  <c r="DG110" i="2"/>
  <c r="AF110" i="2" s="1"/>
  <c r="DG18" i="2"/>
  <c r="AF18" i="2" s="1"/>
  <c r="AG18" i="2"/>
  <c r="DG119" i="2"/>
  <c r="AF119" i="2" s="1"/>
  <c r="AG119" i="2"/>
  <c r="DE143" i="2"/>
  <c r="AB143" i="2" s="1"/>
  <c r="AC143" i="2"/>
  <c r="AD143" i="2" s="1"/>
  <c r="DF143" i="2" s="1"/>
  <c r="AG94" i="2" l="1"/>
  <c r="DG94" i="2"/>
  <c r="AF94" i="2" s="1"/>
  <c r="AG115" i="2"/>
  <c r="DG115" i="2"/>
  <c r="AF115" i="2" s="1"/>
  <c r="AG41" i="2"/>
  <c r="DG41" i="2"/>
  <c r="AF41" i="2" s="1"/>
  <c r="DG20" i="2"/>
  <c r="AF20" i="2" s="1"/>
  <c r="AG20" i="2"/>
  <c r="AG112" i="2"/>
  <c r="DG112" i="2"/>
  <c r="AF112" i="2" s="1"/>
  <c r="DG74" i="2"/>
  <c r="AF74" i="2" s="1"/>
  <c r="AG74" i="2"/>
  <c r="DG118" i="2"/>
  <c r="AF118" i="2" s="1"/>
  <c r="AG118" i="2"/>
  <c r="AG95" i="2"/>
  <c r="DG95" i="2"/>
  <c r="AF95" i="2" s="1"/>
  <c r="AG109" i="2"/>
  <c r="DG109" i="2"/>
  <c r="AF109" i="2" s="1"/>
  <c r="AG150" i="2"/>
  <c r="DG150" i="2"/>
  <c r="AF150" i="2" s="1"/>
  <c r="DG89" i="2"/>
  <c r="AF89" i="2" s="1"/>
  <c r="AG89" i="2"/>
  <c r="DG123" i="2"/>
  <c r="AF123" i="2" s="1"/>
  <c r="AG123" i="2"/>
  <c r="DG148" i="2"/>
  <c r="AF148" i="2" s="1"/>
  <c r="AG148" i="2"/>
  <c r="AG76" i="2"/>
  <c r="DG76" i="2"/>
  <c r="AF76" i="2" s="1"/>
  <c r="DG39" i="2"/>
  <c r="AF39" i="2" s="1"/>
  <c r="AG39" i="2"/>
  <c r="AG102" i="2"/>
  <c r="DG102" i="2"/>
  <c r="AF102" i="2" s="1"/>
  <c r="AG42" i="2"/>
  <c r="DG42" i="2"/>
  <c r="AF42" i="2" s="1"/>
  <c r="AG116" i="2"/>
  <c r="DG116" i="2"/>
  <c r="AF116" i="2" s="1"/>
  <c r="AG87" i="2"/>
  <c r="DG87" i="2"/>
  <c r="AF87" i="2" s="1"/>
  <c r="AG51" i="2"/>
  <c r="DG51" i="2"/>
  <c r="AF51" i="2" s="1"/>
  <c r="AG56" i="2"/>
  <c r="DG56" i="2"/>
  <c r="AF56" i="2" s="1"/>
  <c r="AG97" i="2"/>
  <c r="DG97" i="2"/>
  <c r="AF97" i="2" s="1"/>
  <c r="DG80" i="2"/>
  <c r="AF80" i="2" s="1"/>
  <c r="AG80" i="2"/>
  <c r="AG125" i="2"/>
  <c r="DG125" i="2"/>
  <c r="AF125" i="2" s="1"/>
  <c r="DG49" i="2"/>
  <c r="AF49" i="2" s="1"/>
  <c r="AG49" i="2"/>
  <c r="DG65" i="2"/>
  <c r="AF65" i="2" s="1"/>
  <c r="AG65" i="2"/>
  <c r="DG70" i="2"/>
  <c r="AF70" i="2" s="1"/>
  <c r="AG70" i="2"/>
  <c r="AG106" i="2"/>
  <c r="DG106" i="2"/>
  <c r="AF106" i="2" s="1"/>
  <c r="DG99" i="2"/>
  <c r="AF99" i="2" s="1"/>
  <c r="AG99" i="2"/>
  <c r="DG143" i="2"/>
  <c r="AF143" i="2" s="1"/>
  <c r="AG143" i="2"/>
  <c r="DG122" i="2"/>
  <c r="AF122" i="2" s="1"/>
  <c r="AG122" i="2"/>
  <c r="DG128" i="2"/>
  <c r="AF128" i="2" s="1"/>
  <c r="AG128" i="2"/>
  <c r="DG85" i="2"/>
  <c r="AF85" i="2" s="1"/>
  <c r="AG85" i="2"/>
  <c r="DG141" i="2"/>
  <c r="AF141" i="2" s="1"/>
  <c r="AG141" i="2"/>
  <c r="DG33" i="2"/>
  <c r="AF33" i="2" s="1"/>
  <c r="AG33" i="2"/>
  <c r="AG61" i="2"/>
  <c r="DG61" i="2"/>
  <c r="AF61" i="2" s="1"/>
  <c r="DG32" i="2"/>
  <c r="AF32" i="2" s="1"/>
  <c r="AG32" i="2"/>
  <c r="AG81" i="2"/>
  <c r="DG81" i="2"/>
  <c r="AF81" i="2" s="1"/>
  <c r="AG71" i="2"/>
  <c r="DG71" i="2"/>
  <c r="AF71" i="2" s="1"/>
  <c r="AG131" i="2"/>
  <c r="DG131" i="2"/>
  <c r="AF131" i="2" s="1"/>
  <c r="AG124" i="2"/>
  <c r="DG124" i="2"/>
  <c r="AF124" i="2" s="1"/>
  <c r="AG88" i="2"/>
  <c r="DG88" i="2"/>
  <c r="AF88" i="2" s="1"/>
  <c r="DG111" i="2"/>
  <c r="AF111" i="2" s="1"/>
  <c r="AG111" i="2"/>
  <c r="DG136" i="2"/>
  <c r="AF136" i="2" s="1"/>
  <c r="AG136" i="2"/>
  <c r="AG146" i="2"/>
  <c r="DG146" i="2"/>
  <c r="AF146" i="2" s="1"/>
  <c r="DG29" i="2"/>
  <c r="AF29" i="2" s="1"/>
  <c r="AG29" i="2"/>
  <c r="AG62" i="2"/>
  <c r="DG62" i="2"/>
  <c r="AF62" i="2" s="1"/>
  <c r="AG147" i="2"/>
  <c r="DG147" i="2"/>
  <c r="AF147" i="2" s="1"/>
  <c r="AG91" i="2"/>
  <c r="DG91" i="2"/>
  <c r="AF91" i="2" s="1"/>
  <c r="DG34" i="2"/>
  <c r="AF34" i="2" s="1"/>
  <c r="AG34" i="2"/>
  <c r="DG60" i="2"/>
  <c r="AF60" i="2" s="1"/>
  <c r="AG60" i="2"/>
  <c r="DG117" i="2"/>
  <c r="AF117" i="2" s="1"/>
  <c r="AG117" i="2"/>
  <c r="DG138" i="2"/>
  <c r="AF138" i="2" s="1"/>
  <c r="AG138" i="2"/>
  <c r="DG45" i="2"/>
  <c r="AF45" i="2" s="1"/>
  <c r="AG45" i="2"/>
</calcChain>
</file>

<file path=xl/sharedStrings.xml><?xml version="1.0" encoding="utf-8"?>
<sst xmlns="http://schemas.openxmlformats.org/spreadsheetml/2006/main" count="3214" uniqueCount="1001">
  <si>
    <t>No</t>
  </si>
  <si>
    <t>施設名</t>
  </si>
  <si>
    <t>電話番号</t>
  </si>
  <si>
    <t>エリア</t>
  </si>
  <si>
    <t>担当部署/役職</t>
  </si>
  <si>
    <t>担当者名</t>
  </si>
  <si>
    <t>現在ステージ（選択）</t>
  </si>
  <si>
    <t>相手の反応（選択）</t>
  </si>
  <si>
    <t>次に話す内容（自動表示）</t>
  </si>
  <si>
    <t>次ステージ（自動）</t>
  </si>
  <si>
    <t>結果ステータス</t>
  </si>
  <si>
    <t>次回架電日時</t>
  </si>
  <si>
    <t>メモ</t>
  </si>
  <si>
    <t>送付先メール</t>
  </si>
  <si>
    <t>最終更新</t>
  </si>
  <si>
    <t>ステージ2（選択/自動）</t>
  </si>
  <si>
    <t>反応2（選択）</t>
  </si>
  <si>
    <t>話す内容2（自動表示）</t>
  </si>
  <si>
    <t>次ステージ2（自動）</t>
  </si>
  <si>
    <t>ステージ3（選択/自動）</t>
  </si>
  <si>
    <t>反応3（選択）</t>
  </si>
  <si>
    <t>話す内容3（自動表示）</t>
  </si>
  <si>
    <t>次ステージ3（自動）</t>
  </si>
  <si>
    <t>ステージ4（選択/自動）</t>
  </si>
  <si>
    <t>反応4（選択）</t>
  </si>
  <si>
    <t>話す内容4（自動表示）</t>
  </si>
  <si>
    <t>次ステージ4（自動）</t>
  </si>
  <si>
    <t>ステージ5（選択/自動）</t>
  </si>
  <si>
    <t>反応5（選択）</t>
  </si>
  <si>
    <t>話す内容5（自動表示）</t>
  </si>
  <si>
    <t>次ステージ5（自動）</t>
  </si>
  <si>
    <t>別府温泉 杉乃井ホテル</t>
  </si>
  <si>
    <t>0977-78-8888</t>
  </si>
  <si>
    <t>観海寺</t>
  </si>
  <si>
    <t>①架電</t>
  </si>
  <si>
    <t>未架電</t>
  </si>
  <si>
    <t>RESPX_001</t>
  </si>
  <si>
    <t>界 別府</t>
  </si>
  <si>
    <t>050-3134-8092</t>
  </si>
  <si>
    <t>北浜</t>
  </si>
  <si>
    <t>①-2自動音声</t>
  </si>
  <si>
    <t>RESPX_002</t>
  </si>
  <si>
    <t>亀の井ホテル 別府</t>
  </si>
  <si>
    <t>0977-22-3301</t>
  </si>
  <si>
    <t>別府駅周辺</t>
  </si>
  <si>
    <t>②受付</t>
  </si>
  <si>
    <t>RESPX_003</t>
  </si>
  <si>
    <t>西鉄リゾートイン別府</t>
  </si>
  <si>
    <t>0977-26-5151</t>
  </si>
  <si>
    <t>③受付用件</t>
  </si>
  <si>
    <t>RESPX_004</t>
  </si>
  <si>
    <t>別府温泉 ホテル白菊</t>
  </si>
  <si>
    <t>0977-21-2111</t>
  </si>
  <si>
    <t>駅周辺</t>
  </si>
  <si>
    <t>④不在対応</t>
  </si>
  <si>
    <t>RESPX_005</t>
  </si>
  <si>
    <t>竹と椿のお宿 花べっぷ</t>
  </si>
  <si>
    <t>0977-21-0050</t>
  </si>
  <si>
    <t>⑤資料送付打診</t>
  </si>
  <si>
    <t>RESPX_006</t>
  </si>
  <si>
    <t>おにやまホテル</t>
  </si>
  <si>
    <t>0977-66-1121</t>
  </si>
  <si>
    <t>鉄輪</t>
  </si>
  <si>
    <t>⑥目的伝達</t>
  </si>
  <si>
    <t>RESPX_007</t>
  </si>
  <si>
    <t>別府八湯 御宿 野乃別府</t>
  </si>
  <si>
    <t>0977-21-5489</t>
  </si>
  <si>
    <t>⑦メリット</t>
  </si>
  <si>
    <t>RESPX_008</t>
  </si>
  <si>
    <t>アマネク別府ゆらり</t>
  </si>
  <si>
    <t>0977-76-5566</t>
  </si>
  <si>
    <t>⑧費用説明</t>
  </si>
  <si>
    <t>RESPX_009</t>
  </si>
  <si>
    <t>アマネクイン別府</t>
  </si>
  <si>
    <t>0977-76-5565</t>
  </si>
  <si>
    <t>⑨安全説明</t>
  </si>
  <si>
    <t>RESPX_010</t>
  </si>
  <si>
    <t>MURE Beppu</t>
  </si>
  <si>
    <t>0977-23-3377</t>
  </si>
  <si>
    <t>楠町（ゆめタウン周辺）</t>
  </si>
  <si>
    <t>⑩ヒアリング</t>
  </si>
  <si>
    <t>RESPX_011</t>
  </si>
  <si>
    <t>REX HOTEL別府</t>
  </si>
  <si>
    <t>0977-23-6111</t>
  </si>
  <si>
    <t>若草・餅ヶ浜</t>
  </si>
  <si>
    <t>⑪代替案</t>
  </si>
  <si>
    <t>RESPX_012</t>
  </si>
  <si>
    <t>別府風雅</t>
  </si>
  <si>
    <t>0570-018-766</t>
  </si>
  <si>
    <t>堀田</t>
  </si>
  <si>
    <t>⑫決裁者確認</t>
  </si>
  <si>
    <t>RESPX_013</t>
  </si>
  <si>
    <t>別府温泉テラス 御堂原</t>
  </si>
  <si>
    <t>0977-85-8841</t>
  </si>
  <si>
    <t>堀田・観海寺</t>
  </si>
  <si>
    <t>⑬クロージング</t>
  </si>
  <si>
    <t>RESPX_014</t>
  </si>
  <si>
    <t>GALLERIA MIDOBARU（ガレリア御堂原）</t>
  </si>
  <si>
    <t>0977-76-5303</t>
  </si>
  <si>
    <t>⑭確定確認</t>
  </si>
  <si>
    <t>RESPX_015</t>
  </si>
  <si>
    <t>ANAインターコンチネンタル別府リゾート＆スパ</t>
  </si>
  <si>
    <t>0977-66-1000</t>
  </si>
  <si>
    <t>明礬（みょうばん）</t>
  </si>
  <si>
    <t>⑮日程再調整</t>
  </si>
  <si>
    <t>RESPX_016</t>
  </si>
  <si>
    <t>AMANE RESORT SEIKAI（潮騒の宿 晴海）</t>
  </si>
  <si>
    <t>0977-66-3680</t>
  </si>
  <si>
    <t>上人ヶ浜</t>
  </si>
  <si>
    <t>⑯再架電予定</t>
  </si>
  <si>
    <t>RESPX_017</t>
  </si>
  <si>
    <t>AMANE RESORT GAHAMA（ガハマテラス）</t>
  </si>
  <si>
    <t>0977-66-8833</t>
  </si>
  <si>
    <t>⑰送付完了</t>
  </si>
  <si>
    <t>RESPX_018</t>
  </si>
  <si>
    <t>ホテルサンバリーアネックス</t>
  </si>
  <si>
    <t>0977-26-6555</t>
  </si>
  <si>
    <t>石垣・浜脇周辺</t>
  </si>
  <si>
    <t>⑱丁寧終了</t>
  </si>
  <si>
    <t>RESPX_019</t>
  </si>
  <si>
    <t>ビジネスホテル・グッドイン別府</t>
  </si>
  <si>
    <t>0977-22-3001</t>
  </si>
  <si>
    <t>浜町・浜脇</t>
  </si>
  <si>
    <t>別府第一ホテル</t>
  </si>
  <si>
    <t>0977-24-6311</t>
  </si>
  <si>
    <t>ホテルアーサー KITAHAMA BASE</t>
  </si>
  <si>
    <t>0977-25-2611</t>
  </si>
  <si>
    <t>別府ホテルエール（HOTEL AILE）</t>
  </si>
  <si>
    <t>0977-21-7272</t>
  </si>
  <si>
    <t>ホテルなぎさ</t>
  </si>
  <si>
    <t>0977-23-8101</t>
  </si>
  <si>
    <t>ジェイホッパーズ別府ゲストハウス</t>
  </si>
  <si>
    <t>0977-26-1700</t>
  </si>
  <si>
    <t>的ヶ浜</t>
  </si>
  <si>
    <t>ホテルニューツルタ</t>
  </si>
  <si>
    <t>0977-22-1110</t>
  </si>
  <si>
    <t>別府温泉 海乃ホテルはじめ（旧ホテルニュー松実）</t>
  </si>
  <si>
    <t>0977-23-2201</t>
  </si>
  <si>
    <t>別館うみね</t>
  </si>
  <si>
    <t>050-5799-8508</t>
  </si>
  <si>
    <t>ホテルうみね</t>
  </si>
  <si>
    <t>0977-26-0002</t>
  </si>
  <si>
    <t>海薫る宿ホテルニュー松実</t>
  </si>
  <si>
    <t>北浜/別府駅周辺</t>
  </si>
  <si>
    <t>大江戸温泉物語 別府清風</t>
  </si>
  <si>
    <t>0570-050-268</t>
  </si>
  <si>
    <t>喜可久旅館</t>
  </si>
  <si>
    <t>0977-75-8730</t>
  </si>
  <si>
    <t>楠町/別府駅周辺</t>
  </si>
  <si>
    <t>匠晴の宿心庵</t>
  </si>
  <si>
    <t>0977-75-8400</t>
  </si>
  <si>
    <t>グッドイン別府</t>
  </si>
  <si>
    <t>浜町/別府駅周辺</t>
  </si>
  <si>
    <t>くつろぎの宿山田別荘</t>
  </si>
  <si>
    <t>0977-24-2121</t>
  </si>
  <si>
    <t>シーサイドホテル美松 大江亭</t>
  </si>
  <si>
    <t>0977-23-4301</t>
  </si>
  <si>
    <t>旅のお宿臨海</t>
  </si>
  <si>
    <t>0977-22-3361</t>
  </si>
  <si>
    <t>天空湯房清海荘</t>
  </si>
  <si>
    <t>0977-22-0275</t>
  </si>
  <si>
    <t>ビジネス観光ホテルなぎさ</t>
  </si>
  <si>
    <t>べっぷ好楽</t>
  </si>
  <si>
    <t>0977-22-1331</t>
  </si>
  <si>
    <t>別府のお宿加賀屋</t>
  </si>
  <si>
    <t>0977-75-7224</t>
  </si>
  <si>
    <t>べっぷ野上本館</t>
  </si>
  <si>
    <t>0977-22-1334</t>
  </si>
  <si>
    <t>ホテルアーサー</t>
  </si>
  <si>
    <t>ホテルエール</t>
  </si>
  <si>
    <t>スーパーホテル別府駅前</t>
  </si>
  <si>
    <t>0977-73-9000</t>
  </si>
  <si>
    <t>ホテルSEA WAVE別府</t>
  </si>
  <si>
    <t>0977-27-1311</t>
  </si>
  <si>
    <t>ホテル芳泉鶴</t>
  </si>
  <si>
    <t>0977-26-4666</t>
  </si>
  <si>
    <t>悠彩の宿望海</t>
  </si>
  <si>
    <t>0977-22-1241</t>
  </si>
  <si>
    <t>ゆわいの宿竹乃井</t>
  </si>
  <si>
    <t>0977-23-3261</t>
  </si>
  <si>
    <t>ゲストハウス団欒</t>
  </si>
  <si>
    <t>0977-75-8100</t>
  </si>
  <si>
    <t>割烹旅館千成</t>
  </si>
  <si>
    <t>0977-21-1550</t>
  </si>
  <si>
    <t>割烹旅館もみや</t>
  </si>
  <si>
    <t>0977-23-5121</t>
  </si>
  <si>
    <t>上田の湯/別府駅周辺</t>
  </si>
  <si>
    <t>割烹旅館ゆめさき</t>
  </si>
  <si>
    <t>0977-22-3008</t>
  </si>
  <si>
    <t>鶴見/観海寺・堀田</t>
  </si>
  <si>
    <t>徳の宿ふぶ庵</t>
  </si>
  <si>
    <t>0977-75-8950</t>
  </si>
  <si>
    <t>春木/別府駅周辺</t>
  </si>
  <si>
    <t>ビジネスホテル花月</t>
  </si>
  <si>
    <t>0977-24-2355</t>
  </si>
  <si>
    <t>田の湯/別府駅周辺</t>
  </si>
  <si>
    <t>別邸はる樹</t>
  </si>
  <si>
    <t>0977-24-8456</t>
  </si>
  <si>
    <t>新別府/別府駅周辺</t>
  </si>
  <si>
    <t>べっぷ昭和園</t>
  </si>
  <si>
    <t>0977-22-3211</t>
  </si>
  <si>
    <t>別府市周辺</t>
  </si>
  <si>
    <t>別府豊泉荘</t>
  </si>
  <si>
    <t>0977-23-4281</t>
  </si>
  <si>
    <t>青山/別府駅周辺</t>
  </si>
  <si>
    <t>ホテル別府パストラル</t>
  </si>
  <si>
    <t>0977-23-4201</t>
  </si>
  <si>
    <t>荘園/別府駅周辺</t>
  </si>
  <si>
    <t>城島高原ホテル</t>
  </si>
  <si>
    <t>0977-22-1162</t>
  </si>
  <si>
    <t>城島/観海寺・堀田</t>
  </si>
  <si>
    <t>眺望の宿しおり</t>
  </si>
  <si>
    <t>0977-22-9771</t>
  </si>
  <si>
    <t>南立石/観海寺・堀田</t>
  </si>
  <si>
    <t>美湯の宿両築別邸</t>
  </si>
  <si>
    <t>0977-26-0022</t>
  </si>
  <si>
    <t>別府温泉テラス御堂原</t>
  </si>
  <si>
    <t>ガレリア御堂原</t>
  </si>
  <si>
    <t>旅亭松葉屋</t>
  </si>
  <si>
    <t>0977-22-4271</t>
  </si>
  <si>
    <t>えびすや旅館</t>
  </si>
  <si>
    <t>0977-66-0338</t>
  </si>
  <si>
    <t>明礬</t>
  </si>
  <si>
    <t>岡本屋旅館</t>
  </si>
  <si>
    <t>0977-66-3228</t>
  </si>
  <si>
    <t>さわやかハートピア明礬</t>
  </si>
  <si>
    <t>0977-66-1321</t>
  </si>
  <si>
    <t>豊前屋旅館</t>
  </si>
  <si>
    <t>0977-66-0537</t>
  </si>
  <si>
    <t>山田屋旅館（明礬）</t>
  </si>
  <si>
    <t>0977-66-0332</t>
  </si>
  <si>
    <t>湯元屋旅館</t>
  </si>
  <si>
    <t>0977-66-0322</t>
  </si>
  <si>
    <t>旅館みどり荘</t>
  </si>
  <si>
    <t>0977-66-2012</t>
  </si>
  <si>
    <t>若杉旅館</t>
  </si>
  <si>
    <t>0977-66-0966</t>
  </si>
  <si>
    <t>Ugo -ペットと泊まれる宿-</t>
  </si>
  <si>
    <t>080-8384-3150</t>
  </si>
  <si>
    <t>杜の湯リゾート</t>
  </si>
  <si>
    <t>0977-85-7000</t>
  </si>
  <si>
    <t>ANAインターコンチネンタル別府リゾート&amp;スパ</t>
  </si>
  <si>
    <t>鉄輪・明礬</t>
  </si>
  <si>
    <t>グランシア別府鉄輪</t>
  </si>
  <si>
    <t>0120-197-455</t>
  </si>
  <si>
    <t>いで湯の宿丸神屋</t>
  </si>
  <si>
    <t>0977-66-1808</t>
  </si>
  <si>
    <t>彩乃宿浮羽</t>
  </si>
  <si>
    <t>0977-22-0023</t>
  </si>
  <si>
    <t>癒しの宿豊山荘</t>
  </si>
  <si>
    <t>0977-21-8080</t>
  </si>
  <si>
    <t>御宿温泉閣</t>
  </si>
  <si>
    <t>0977-66-1767</t>
  </si>
  <si>
    <t>割烹旅館かんな和別邸</t>
  </si>
  <si>
    <t>0977-27-7880</t>
  </si>
  <si>
    <t>上富士屋旅館</t>
  </si>
  <si>
    <t>0977-66-0323</t>
  </si>
  <si>
    <t>かんなわゆの香</t>
  </si>
  <si>
    <t>0977-67-2682</t>
  </si>
  <si>
    <t>五養宿辰巳屋旅館</t>
  </si>
  <si>
    <t>0977-66-0309</t>
  </si>
  <si>
    <t>しんきや旅館</t>
  </si>
  <si>
    <t>0977-66-0962</t>
  </si>
  <si>
    <t>別府 おぐら</t>
  </si>
  <si>
    <t>0977-21-6123</t>
  </si>
  <si>
    <t>絶景の宿さくら亭</t>
  </si>
  <si>
    <t>0977-27-6747</t>
  </si>
  <si>
    <t>大黒屋旅館</t>
  </si>
  <si>
    <t>0977-66-2301</t>
  </si>
  <si>
    <t>和の宿夢月</t>
  </si>
  <si>
    <t>0977-27-2888</t>
  </si>
  <si>
    <t>双葉荘</t>
  </si>
  <si>
    <t>0977-66-1590</t>
  </si>
  <si>
    <t>ホテル鉄輪</t>
  </si>
  <si>
    <t>0977-66-8222</t>
  </si>
  <si>
    <t>ホテル山水館</t>
  </si>
  <si>
    <t>0977-66-3211</t>
  </si>
  <si>
    <t>ホテルつるみ</t>
  </si>
  <si>
    <t>0977-66-0561</t>
  </si>
  <si>
    <t>湯快リゾートプレミアム ホテル風月</t>
  </si>
  <si>
    <t>0570-550-078</t>
  </si>
  <si>
    <t>萬力屋別館</t>
  </si>
  <si>
    <t>0977-66-3345</t>
  </si>
  <si>
    <t>萬力屋</t>
  </si>
  <si>
    <t>0977-66-1372</t>
  </si>
  <si>
    <t>民宿みかさや</t>
  </si>
  <si>
    <t>0977-66-0438</t>
  </si>
  <si>
    <t>民宿みゆき屋</t>
  </si>
  <si>
    <t>0977-66-0360</t>
  </si>
  <si>
    <t>もと湯の宿黒田や</t>
  </si>
  <si>
    <t>0977-66-9656</t>
  </si>
  <si>
    <t>灯りの宿 燈月</t>
  </si>
  <si>
    <t>0977-66-6633</t>
  </si>
  <si>
    <t>やすらぎのある宿 旅館さくら屋</t>
  </si>
  <si>
    <t>0977-66-2328</t>
  </si>
  <si>
    <t>やすらぎの宿由布</t>
  </si>
  <si>
    <t>0977-66-8536</t>
  </si>
  <si>
    <t>柳屋</t>
  </si>
  <si>
    <t>0977-66-4414</t>
  </si>
  <si>
    <t>湯けむりの宿ほの香</t>
  </si>
  <si>
    <t>0977-66-3231</t>
  </si>
  <si>
    <t>鉄輪-癒心-</t>
  </si>
  <si>
    <t>0977-85-8303</t>
  </si>
  <si>
    <t>湯の里葉山</t>
  </si>
  <si>
    <t>0977-66-1245</t>
  </si>
  <si>
    <t>Spa&amp;Healing ヴィラかなわ</t>
  </si>
  <si>
    <t>0977-76-8585</t>
  </si>
  <si>
    <t>湯元美吉</t>
  </si>
  <si>
    <t>0977-66-0328</t>
  </si>
  <si>
    <t>陽光荘</t>
  </si>
  <si>
    <t>0977-66-0440</t>
  </si>
  <si>
    <t>アサヒヤ旅館</t>
  </si>
  <si>
    <t>0977-66-0237</t>
  </si>
  <si>
    <t>旅館入舟荘</t>
  </si>
  <si>
    <t>0977-66-0655</t>
  </si>
  <si>
    <t>旅館喜楽（鉄輪）</t>
  </si>
  <si>
    <t>0977-66-1585</t>
  </si>
  <si>
    <t>旅館国東荘</t>
  </si>
  <si>
    <t>0977-66-0241</t>
  </si>
  <si>
    <t>旅館筑新</t>
  </si>
  <si>
    <t>0977-66-1358</t>
  </si>
  <si>
    <t>日本旅館 器 別府鉄輪</t>
  </si>
  <si>
    <t>0977-85-7782</t>
  </si>
  <si>
    <t>若桜荘</t>
  </si>
  <si>
    <t>0977-66-1593</t>
  </si>
  <si>
    <t>山荘 神和苑</t>
  </si>
  <si>
    <t>0977-66-2111</t>
  </si>
  <si>
    <t>ホテルサンバリー</t>
  </si>
  <si>
    <t>0977-24-3939</t>
  </si>
  <si>
    <t>観光港周辺</t>
  </si>
  <si>
    <t>別府観光ホテルエース</t>
  </si>
  <si>
    <t>0977-24-9111</t>
  </si>
  <si>
    <t>別府ステーションホテル</t>
  </si>
  <si>
    <t>0977-24-2525</t>
  </si>
  <si>
    <t>ホテルフジヨシ</t>
  </si>
  <si>
    <t>0977-23-2111</t>
  </si>
  <si>
    <t>ホテルはやし</t>
  </si>
  <si>
    <t>0977-22-1337</t>
  </si>
  <si>
    <t>別府タワーホテル</t>
  </si>
  <si>
    <t>0977-26-1555</t>
  </si>
  <si>
    <t>カプセルホステル別府タワー</t>
  </si>
  <si>
    <t>別府温泉 ホテルなぎさ</t>
  </si>
  <si>
    <t>別府温泉 旅館 千成</t>
  </si>
  <si>
    <t>別府温泉 ホテルサンライン別府</t>
  </si>
  <si>
    <t>0977-26-1155</t>
  </si>
  <si>
    <t>別府ホステル U&amp;T</t>
  </si>
  <si>
    <t>要確認</t>
  </si>
  <si>
    <t>ゲストハウス ベップロジウラ</t>
  </si>
  <si>
    <t>0977-25-0100</t>
  </si>
  <si>
    <t>Onsen Hostel KIKU</t>
  </si>
  <si>
    <t>ゆとりろ別府</t>
  </si>
  <si>
    <t>亀川/鶴見</t>
  </si>
  <si>
    <t>別府温泉わんこの宿ゆるり</t>
  </si>
  <si>
    <t>別府ホテル塒（ねぐら）</t>
  </si>
  <si>
    <t>入湯貸間 陽光荘</t>
  </si>
  <si>
    <t>入湯御宿 温泉閣</t>
  </si>
  <si>
    <t>おやど湯の丘</t>
  </si>
  <si>
    <t>二彩乃湯宿 アサヒヤ</t>
  </si>
  <si>
    <t>冨士屋ホテル（鉄輪）</t>
  </si>
  <si>
    <t>ひろみや</t>
  </si>
  <si>
    <t>御宿えびす屋</t>
  </si>
  <si>
    <t>別府温泉 くつろぎの温泉宿 山田別荘</t>
  </si>
  <si>
    <t>SHARE HOTEL 198 BEPPU</t>
  </si>
  <si>
    <t>シンプルステイ別府</t>
  </si>
  <si>
    <t>別府温泉 リゾーピア別府</t>
  </si>
  <si>
    <t>0977-25-1122</t>
  </si>
  <si>
    <t>別府温泉 眺望の宿 しおり</t>
  </si>
  <si>
    <t>別府温泉 旅館 叶屋</t>
  </si>
  <si>
    <t>使い方：G列で「現在ステージ」、H列で「相手の反応」を選ぶと、I列に次に話す内容が表示されます。K列で結果ステータスを更新し、L列に次回架電日時、M列にメモを残してください。</t>
  </si>
  <si>
    <t>スクリプト設定（青=入力）</t>
  </si>
  <si>
    <t>項目</t>
  </si>
  <si>
    <t>値（入力）</t>
  </si>
  <si>
    <t>会社名</t>
  </si>
  <si>
    <t>株式会社NanoAct</t>
  </si>
  <si>
    <t>担当者名（あなた）</t>
  </si>
  <si>
    <t>〇〇</t>
  </si>
  <si>
    <t>サービス名（表示）</t>
  </si>
  <si>
    <t>対象エリア</t>
  </si>
  <si>
    <t>料金（分あたり・円）</t>
  </si>
  <si>
    <t>訪問候補日①</t>
  </si>
  <si>
    <t>〇月〇日</t>
  </si>
  <si>
    <t>訪問候補日②</t>
  </si>
  <si>
    <t>訪問候補時間①</t>
  </si>
  <si>
    <t>〇時〜</t>
  </si>
  <si>
    <t>訪問候補時間②</t>
  </si>
  <si>
    <t>資料URL（任意）</t>
  </si>
  <si>
    <t>備考</t>
  </si>
  <si>
    <t>事故対応フロー・保険は当社で準備。充電は施設側（充電代負担）。</t>
  </si>
  <si>
    <t>キー</t>
  </si>
  <si>
    <t>ステージ</t>
  </si>
  <si>
    <t>次ステージ</t>
  </si>
  <si>
    <t>次に話す内容（表示）</t>
  </si>
  <si>
    <t>補足</t>
  </si>
  <si>
    <t>①架電|受付が出た</t>
  </si>
  <si>
    <t>受付が出た</t>
  </si>
  <si>
    <t>お世話になっております。{会社}の{自分}と申します。別府市内で宿泊者さま向けに「{サービス}」を新たに立ち上げる件で、設置のご相談がありお電話しました。設置や運用のご担当者様（フロント責任者／支配人様など）はいらっしゃいますでしょうか？</t>
  </si>
  <si>
    <t>目的：担当者へ接続</t>
  </si>
  <si>
    <t>①架電|担当者に直接繋がった</t>
  </si>
  <si>
    <t>担当者に直接繋がった</t>
  </si>
  <si>
    <t>（担当者様へ）お世話になっております。{会社}の{自分}と申します。宿泊者さま向けに「{サービス}」を施設に設置するご相談でお電話しました。今1〜2分だけお時間よろしいでしょうか？</t>
  </si>
  <si>
    <t>①架電|自動音声/番号案内</t>
  </si>
  <si>
    <t>自動音声/番号案内</t>
  </si>
  <si>
    <t>（自動音声に従い）『宿泊・フロント』または『総合受付』へ。繋がったら『設置や運用のご担当者様（支配人様など）にお繋ぎいただけますか？』</t>
  </si>
  <si>
    <t>①架電|営業時間外</t>
  </si>
  <si>
    <t>営業時間外</t>
  </si>
  <si>
    <t>承知しました。営業時間内に改めてお電話いたします。ありがとうございます。失礼いたします。</t>
  </si>
  <si>
    <t>終話</t>
  </si>
  <si>
    <t>①-2自動音声|フロント/受付に繋がった</t>
  </si>
  <si>
    <t>フロント/受付に繋がった</t>
  </si>
  <si>
    <t>（繋がったら）お世話になっております。{会社}の{自分}と申します。設置や運用のご担当者様（支配人様など）にお繋ぎいただけますでしょうか？</t>
  </si>
  <si>
    <t>①-2自動音声|担当者に繋がった</t>
  </si>
  <si>
    <t>担当者に繋がった</t>
  </si>
  <si>
    <t>①-2自動音声|繋がらない/切れた</t>
  </si>
  <si>
    <t>繋がらない/切れた</t>
  </si>
  <si>
    <t>承知しました。改めてお電話いたします。ありがとうございました。失礼いたします。</t>
  </si>
  <si>
    <t>②受付|担当者に繋いでくれた</t>
  </si>
  <si>
    <t>担当者に繋いでくれた</t>
  </si>
  <si>
    <t>②受付|用件を聞かれた</t>
  </si>
  <si>
    <t>用件を聞かれた</t>
  </si>
  <si>
    <t>宿泊者さま向けに「{サービス}」を施設に設置し、自由に使える仕組みのご提案です。事故時フローと保険、問い合わせ窓口は当社で準備します。ご担当者様に概要だけお伝えしたく、お繋ぎいただけますでしょうか？</t>
  </si>
  <si>
    <t>短く・不安除去</t>
  </si>
  <si>
    <t>②受付|担当者不在</t>
  </si>
  <si>
    <t>担当者不在</t>
  </si>
  <si>
    <t>ありがとうございます。ご担当者様は何時頃がお戻りでしょうか？（繋がりやすいお時間はありますか？）</t>
  </si>
  <si>
    <t>②受付|繋げない/NG</t>
  </si>
  <si>
    <t>繋げない/NG</t>
  </si>
  <si>
    <t>承知しました。負担が出ない形の例と安全面を1枚にまとめた資料があります。よろしければお送りしてもよろしいでしょうか？</t>
  </si>
  <si>
    <t>メール取得へ</t>
  </si>
  <si>
    <t>③受付用件|担当者に繋いでくれた</t>
  </si>
  <si>
    <t>③受付用件|担当者不在</t>
  </si>
  <si>
    <t>③受付用件|繋げない/NG</t>
  </si>
  <si>
    <t>承知しました。概要1枚とQ&amp;A資料があります。よろしければお送りしてもよろしいでしょうか？</t>
  </si>
  <si>
    <t>④不在対応|時間指定あり</t>
  </si>
  <si>
    <t>時間指定あり</t>
  </si>
  <si>
    <t>ありがとうございます。それでは{時間}頃に改めてお電話いたします。お忙しいところありがとうございました。失礼いたします。</t>
  </si>
  <si>
    <t>④不在対応|時間指定なし</t>
  </si>
  <si>
    <t>時間指定なし</t>
  </si>
  <si>
    <t>承知しました。ではまたこちらから改めます。お忙しいところ失礼しました。失礼いたします。</t>
  </si>
  <si>
    <t>⑤資料送付打診|送付OK（メール取得）</t>
  </si>
  <si>
    <t>送付OK（メール取得）</t>
  </si>
  <si>
    <t>ありがとうございます。送付先のメールアドレスを伺ってもよろしいでしょうか？
（復唱）ありがとうございます。本日中に資料をお送りします。ご確認後、10分だけご質問のお時間をいただければ幸いです。ありがとうございました。失礼いたします。</t>
  </si>
  <si>
    <t>終話：送付で完結</t>
  </si>
  <si>
    <t>⑤資料送付打診|送付NG</t>
  </si>
  <si>
    <t>送付NG</t>
  </si>
  <si>
    <t>承知しました。お忙しいところ失礼しました。ありがとうございました。失礼いたします。</t>
  </si>
  <si>
    <t>⑥目的伝達|時間OK</t>
  </si>
  <si>
    <t>時間OK</t>
  </si>
  <si>
    <t>⑥目的伝達|今はNG</t>
  </si>
  <si>
    <t>今はNG</t>
  </si>
  <si>
    <t>承知しました。差し支えなければ、改めてお電話するのに都合の良いお時間はございますか？</t>
  </si>
  <si>
    <t>⑦メリット|興味あり</t>
  </si>
  <si>
    <t>興味あり</t>
  </si>
  <si>
    <t>ありがとうございます。ポイントは3つです。①宿泊体験の価値が上がる ②運用負担は最小（保険・窓口は当社） ③設置協力施設様向けに収益分配も検討しています。
まず設置可否の確認をさせてください。1台あたり幅1mほど置けそうなスペースはありますか？</t>
  </si>
  <si>
    <t>⑦メリット|費用が気になる</t>
  </si>
  <si>
    <t>費用が気になる</t>
  </si>
  <si>
    <t>承知しました。費用面だけ先に整理します。</t>
  </si>
  <si>
    <t>⑦メリット|安全が気になる</t>
  </si>
  <si>
    <t>安全が気になる</t>
  </si>
  <si>
    <t>承知しました。安全面のご懸念が一番大事なので先にそこからご説明します。</t>
  </si>
  <si>
    <t>⑦メリット|とりあえず資料</t>
  </si>
  <si>
    <t>とりあえず資料</t>
  </si>
  <si>
    <t>承知しました。概要1枚とQ&amp;Aをお送りします。送付先のメールアドレスを伺ってもよろしいでしょうか？</t>
  </si>
  <si>
    <t>⑦メリット|興味なし/NG</t>
  </si>
  <si>
    <t>⑧費用説明|説明して続けてOK</t>
  </si>
  <si>
    <t>説明して続けてOK</t>
  </si>
  <si>
    <t>料金は分あたり{料金}円を想定しています。施設様にお願いするのは、駐輪スペースのご用意と充電（充電代）のご負担です。台数や運用条件によってはSIM費（月3,000〜4,000円/台）をご相談する場合があります。
そのうえで、設置協力施設様向けに収益分配の設計も可能です。
差し支えなければ、施設内で置けそうなスペースはございますか？</t>
  </si>
  <si>
    <t>⑧費用説明|それでも難しい</t>
  </si>
  <si>
    <t>それでも難しい</t>
  </si>
  <si>
    <t>承知しました。費用面が合わない場合は無理にお願いしません。本日はお時間ありがとうございました。失礼いたします。</t>
  </si>
  <si>
    <t>⑨安全説明|説明して続けてOK</t>
  </si>
  <si>
    <t>事故時の対応フローと保険は当社で準備します。緊急連絡先も当社に一本化し、施設様の現場負担が増えない運用にします。利用ルール（時間帯・走行・返却）も整備します。
差し支えなければ、施設内で置けそうなスペースはございますか？</t>
  </si>
  <si>
    <t>⑨安全説明|それでも不安でNG</t>
  </si>
  <si>
    <t>それでも不安でNG</t>
  </si>
  <si>
    <t>承知しました。安全面のご懸念は当然だと思います。本日はお時間ありがとうございました。失礼いたします。</t>
  </si>
  <si>
    <t>⑩ヒアリング|スペースあり</t>
  </si>
  <si>
    <t>スペースあり</t>
  </si>
  <si>
    <t>ありがとうございます。では一度、10分オンラインか、可能であれば15分ほどご訪問で概要をご説明したいのですが、{日付1}{時間1}か{日付2}{時間2}だとどちらがご都合よろしいでしょうか？</t>
  </si>
  <si>
    <t>⑩ヒアリング|スペース微妙</t>
  </si>
  <si>
    <t>スペース微妙</t>
  </si>
  <si>
    <t>ありがとうございます。置き場所がネックですよね。屋外の一角でも設置可能で、固定方法も含めて検討できます。置けそうな場所のイメージだけ伺えますか？</t>
  </si>
  <si>
    <t>⑩ヒアリング|決裁者確認</t>
  </si>
  <si>
    <t>決裁者確認</t>
  </si>
  <si>
    <t>ありがとうございます。ご検討いただく場合、最終のご判断はどなたになりますでしょうか？同席が難しければ、資料と短いオンラインで共有も可能です。</t>
  </si>
  <si>
    <t>⑩ヒアリング|今は判断できない</t>
  </si>
  <si>
    <t>今は判断できない</t>
  </si>
  <si>
    <t>承知しました。まずは概要資料をお送りしますので、送付先メールを伺ってもよろしいでしょうか？</t>
  </si>
  <si>
    <t>⑪代替案|置けそう</t>
  </si>
  <si>
    <t>置けそう</t>
  </si>
  <si>
    <t>ありがとうございます。では条件に合う形で設置方法をこちらで整理します。一度、10分オンラインか15分訪問で概要をご説明したいのですが、{日付1}{時間1}か{日付2}{時間2}だとどちらがご都合よろしいでしょうか？</t>
  </si>
  <si>
    <t>⑪代替案|やはり難しい</t>
  </si>
  <si>
    <t>やはり難しい</t>
  </si>
  <si>
    <t>承知しました。置き場所が難しい場合は無理に進めません。本日はありがとうございました。失礼いたします。</t>
  </si>
  <si>
    <t>⑫決裁者確認|決裁者同席OK</t>
  </si>
  <si>
    <t>決裁者同席OK</t>
  </si>
  <si>
    <t>ありがとうございます。では決裁者様も含めて、10分オンラインか15分訪問で概要をご説明したいのですが、{日付1}{時間1}か{日付2}{時間2}だとどちらがご都合よろしいでしょうか？</t>
  </si>
  <si>
    <t>⑫決裁者確認|まず資料で共有</t>
  </si>
  <si>
    <t>まず資料で共有</t>
  </si>
  <si>
    <t>承知しました。決裁者様向けの概要資料をお送りします。送付先メールを伺ってもよろしいでしょうか？</t>
  </si>
  <si>
    <t>⑬クロージング|日程確定</t>
  </si>
  <si>
    <t>日程確定</t>
  </si>
  <si>
    <t>ありがとうございます。それでは{日付確定}の{時間確定}でお願いします。差し支えなければお名前を伺ってもよろしいでしょうか。住所は（リスト住所）でお間違いないでしょうか？
当日はよろしくお願いいたします。ありがとうございました。失礼いたします。</t>
  </si>
  <si>
    <t>⑬クロージング|日程難しい</t>
  </si>
  <si>
    <t>日程難しい</t>
  </si>
  <si>
    <t>承知しました。ではご都合の良い候補日を2つほどいただけますでしょうか？（オンライン10分でも可）</t>
  </si>
  <si>
    <t>⑭確定確認|確認完了</t>
  </si>
  <si>
    <t>確認完了</t>
  </si>
  <si>
    <t>ありがとうございます。それでは当日よろしくお願いいたします。失礼いたします。</t>
  </si>
  <si>
    <t>⑮日程再調整|候補時間もらえた</t>
  </si>
  <si>
    <t>候補時間もらえた</t>
  </si>
  <si>
    <t>ありがとうございます。それではそのお時間に改めてご連絡いたします。お忙しいところありがとうございました。失礼いたします。</t>
  </si>
  <si>
    <t>⑮日程再調整|候補もらえない</t>
  </si>
  <si>
    <t>候補もらえない</t>
  </si>
  <si>
    <t>承知しました。ではまたこちらから改めます。ありがとうございました。失礼いたします。</t>
  </si>
  <si>
    <t>⑯再架電予定|架電終了</t>
  </si>
  <si>
    <t>架電終了</t>
  </si>
  <si>
    <t>（記録用）再架電予定として登録します。</t>
  </si>
  <si>
    <t>内部メモ</t>
  </si>
  <si>
    <t>⑰送付完了|送付完了</t>
  </si>
  <si>
    <t>送付完了</t>
  </si>
  <si>
    <t>（記録用）資料送付で完了。</t>
  </si>
  <si>
    <t>⑱丁寧終了|終了</t>
  </si>
  <si>
    <t>終了</t>
  </si>
  <si>
    <t>（完了）</t>
  </si>
  <si>
    <t>カテゴリ</t>
  </si>
  <si>
    <t>質問</t>
  </si>
  <si>
    <t>回答（そのまま読める）</t>
  </si>
  <si>
    <t>補足/根拠（URL等）</t>
  </si>
  <si>
    <t>Q&amp;Aクイック参照</t>
  </si>
  <si>
    <t>料金</t>
  </si>
  <si>
    <t>料金はいくら？</t>
  </si>
  <si>
    <t>現在は分あたり{料金}円を想定しており、最終は実証の中で最適化します。宿泊者さまの満足度と回転率のバランスを見て決めます。</t>
  </si>
  <si>
    <t>質問（選択）</t>
  </si>
  <si>
    <t>回答（自動）</t>
  </si>
  <si>
    <t>費用負担</t>
  </si>
  <si>
    <t>施設側の負担は？</t>
  </si>
  <si>
    <t>施設様にお願いするのは、駐輪スペースのご用意と充電（1回20円程度）です。台数によってはSIM費（月3,000〜4,000円/台）をご相談します（4台以下は不要の想定）。</t>
  </si>
  <si>
    <t>安全/事故</t>
  </si>
  <si>
    <t>事故が起きたら？</t>
  </si>
  <si>
    <t>事故時の対応フローと保険は当社で準備します。緊急連絡先も当社に一本化し、施設様の現場負担が増えない運用にします。</t>
  </si>
  <si>
    <t>運用</t>
  </si>
  <si>
    <t>フロント業務が増えない？</t>
  </si>
  <si>
    <t>基本はアプリで解錠・施錠し、セルフ利用を前提にします。施設様の運用負担を最小化する設計です（必要に応じて運用ルールを調整します）。</t>
  </si>
  <si>
    <t>設置</t>
  </si>
  <si>
    <t>どれくらいのスペースが必要？</t>
  </si>
  <si>
    <t>目安として1台あたり幅1m程度のスペースがあれば設置可能です。屋内が望ましいですが、屋外でも固定方法を含めて検討できます。</t>
  </si>
  <si>
    <t>法令</t>
  </si>
  <si>
    <t>免許やヘルメットは？</t>
  </si>
  <si>
    <t>16歳以上で免許不要です。ヘルメットは努力義務です。車道は20km/h、歩道は条件付きで6km/hなど、法令に沿ったルールで運用します。</t>
  </si>
  <si>
    <t>収益</t>
  </si>
  <si>
    <t>収益分配は？</t>
  </si>
  <si>
    <t>設置協力施設様には収益分配の仕組みを用意予定です。台数や稼働に応じた設計なので、条件を伺って提案します。</t>
  </si>
  <si>
    <t>ジャンル</t>
  </si>
  <si>
    <t>企業名</t>
  </si>
  <si>
    <t>宿泊施設名</t>
  </si>
  <si>
    <t>住所</t>
  </si>
  <si>
    <t>宿泊単価</t>
  </si>
  <si>
    <t>客層</t>
  </si>
  <si>
    <t>外国人比率</t>
  </si>
  <si>
    <t>駐車場数</t>
  </si>
  <si>
    <t>特徴</t>
  </si>
  <si>
    <t>HP</t>
  </si>
  <si>
    <t>情報ソースURL</t>
  </si>
  <si>
    <t>ホテル（大型リゾート）</t>
  </si>
  <si>
    <t>オリックス・ホテルマネジメント株式会社</t>
  </si>
  <si>
    <t>大分県別府市観海寺1</t>
  </si>
  <si>
    <t>概算：¥26,300〜/人（2名1室）</t>
  </si>
  <si>
    <t>ファミリー・グループ・団体</t>
  </si>
  <si>
    <t>推定：中(10〜25%)</t>
  </si>
  <si>
    <t>900</t>
  </si>
  <si>
    <t>大型リゾート／棚湯・水着エリア等が強み。繁忙期の混雑が弱み。</t>
  </si>
  <si>
    <t>https://suginoi.orixhotelsandresorts.com/</t>
  </si>
  <si>
    <t>https://suginoi.orixhotelsandresorts.com/ https://www.jalan.net/yad351485/ https://www.ana.co.jp/domtour/booking/csm/search/DSEP0080/init?coptCd=29778</t>
  </si>
  <si>
    <t>温泉旅館（高級）</t>
  </si>
  <si>
    <t>株式会社星野リゾート</t>
  </si>
  <si>
    <t>大分県別府市北浜2-14-29</t>
  </si>
  <si>
    <t>概算：¥44,970〜/人（2名1室）</t>
  </si>
  <si>
    <t>カップル・記念日・富裕層</t>
  </si>
  <si>
    <t>推定：中〜高(20〜40%)</t>
  </si>
  <si>
    <t>32</t>
  </si>
  <si>
    <t>星野リゾートの高級温泉旅館ブランド。上質体験が強み、価格帯高め。</t>
  </si>
  <si>
    <t>https://hoshinoresorts.com/ja/hotels/kaibeppu/</t>
  </si>
  <si>
    <t>https://hoshinoresorts.com/ja/hotels/kaibeppu/ https://www.jtb.co.jp/kokunai-hotel/htl/8410A70/access/ https://www.jalan.net/yad380307/</t>
  </si>
  <si>
    <t>ホテル（温泉・都市型）</t>
  </si>
  <si>
    <t>アイコニア・ホスピタリティ株式会社</t>
  </si>
  <si>
    <t>大分県別府市中央町5-17</t>
  </si>
  <si>
    <t>概算：¥7,000〜/人</t>
  </si>
  <si>
    <t>ファミリー・団体・ビジネス</t>
  </si>
  <si>
    <t>300</t>
  </si>
  <si>
    <t>駅徒歩圏・客室数多めで集客力。団体対応が強み、ピーク時混雑。</t>
  </si>
  <si>
    <t>https://kamenoi-hotels.com/beppu/</t>
  </si>
  <si>
    <t>https://kamenoi-hotels.com/beppu/access/ https://www.jalan.net/yad313462/</t>
  </si>
  <si>
    <t>ホテル（ビジネス＋温泉）</t>
  </si>
  <si>
    <t>株式会社西鉄ホテルズ</t>
  </si>
  <si>
    <t>大分県別府市北浜2-10-4</t>
  </si>
  <si>
    <t>概算：¥6,700〜/人</t>
  </si>
  <si>
    <t>ビジネス・観光（カップル/友人）</t>
  </si>
  <si>
    <t>38</t>
  </si>
  <si>
    <t>北浜バス停至近・温泉大浴場。立地強み、駐車場台数は限定。</t>
  </si>
  <si>
    <t>https://inn-beppu.nnr-h.com/</t>
  </si>
  <si>
    <t>https://travel.rakuten.co.jp/HOTEL/16660/16660.html https://inn-beppu.nnr-h.com/ https://onsendo.beppu-navi.jp/y132/</t>
  </si>
  <si>
    <t>旅館（ハイクラス）</t>
  </si>
  <si>
    <t>つるみ観光株式会社</t>
  </si>
  <si>
    <t>大分県別府市上田の湯町16-36</t>
  </si>
  <si>
    <t>概算：¥20,000〜/人（2名1室）</t>
  </si>
  <si>
    <t>カップル・ファミリー・シニア</t>
  </si>
  <si>
    <t>推定：低〜中(5〜15%)</t>
  </si>
  <si>
    <t>70</t>
  </si>
  <si>
    <t>老舗の上質旅館。料理・接客が強み。建物の古さは好みが分かれる可能性。</t>
  </si>
  <si>
    <t>https://www.shiragiku.co.jp/</t>
  </si>
  <si>
    <t>https://onsendo.beppu-navi.jp/y116/ https://www.shiragiku.co.jp/ https://www.buffett-code.com/company/df78lrmx6j/</t>
  </si>
  <si>
    <t>旅館（女性人気）</t>
  </si>
  <si>
    <t>ＪＲ九州ホテルズアンドリゾーツ株式会社</t>
  </si>
  <si>
    <t>大分県別府市北浜3-14-29</t>
  </si>
  <si>
    <t>概算：¥25,500〜/人（2名1室）</t>
  </si>
  <si>
    <t>女性旅・カップル</t>
  </si>
  <si>
    <t>15</t>
  </si>
  <si>
    <t>JR九州系。デザイン性・駅近が強み。駐車場は少なめ。</t>
  </si>
  <si>
    <t>https://hana-beppu.jp/</t>
  </si>
  <si>
    <t>https://www.jalan.net/yad339944/ https://onsendo.beppu-navi.jp/y25/</t>
  </si>
  <si>
    <t>旅館（鉄輪温泉）</t>
  </si>
  <si>
    <t>合資会社 鬼山地獄</t>
  </si>
  <si>
    <t>大分県別府市鉄輪335-1</t>
  </si>
  <si>
    <t>概算：¥15,000〜/人</t>
  </si>
  <si>
    <t>ファミリー・観光客（地獄めぐり）</t>
  </si>
  <si>
    <t>50</t>
  </si>
  <si>
    <t>地獄めぐり至近・展望露天風呂。観光動線が強み。坂道エリア。</t>
  </si>
  <si>
    <t>https://www.oniyama-hotel.co.jp/</t>
  </si>
  <si>
    <t>https://www.oniyama-hotel.co.jp/ https://www.sorin-oita.or.jp/Sorin/Servlet?bn=companyguide&amp;companyNo=44022027241&amp;proc=detail https://www.aeoncompass.com/hotel/access/4424002019</t>
  </si>
  <si>
    <t>ホテル（和風・温泉）</t>
  </si>
  <si>
    <t>株式会社共立メンテナンス</t>
  </si>
  <si>
    <t>大分県別府市駅前本町2-6</t>
  </si>
  <si>
    <t>概算：¥7,125〜/人</t>
  </si>
  <si>
    <t>ビジネス・カップル・1人旅</t>
  </si>
  <si>
    <t>102</t>
  </si>
  <si>
    <t>駅徒歩1分・貸切風呂/サウナ等が強み。人気で満室になりやすい。</t>
  </si>
  <si>
    <t>https://dormy-hotels.com/dormyinn/hotels/nono_beppu/</t>
  </si>
  <si>
    <t>https://dormy-hotels.com/dormyinn/hotels/nono_beppu/access/ https://www.jalan.net/yad368537/plan/</t>
  </si>
  <si>
    <t>ホテル（都市型・温泉）</t>
  </si>
  <si>
    <t>株式会社アマネク</t>
  </si>
  <si>
    <t>大分県別府市駅前本町6-35</t>
  </si>
  <si>
    <t>概算：¥7,835〜/人</t>
  </si>
  <si>
    <t>観光・ビジネス・若年層</t>
  </si>
  <si>
    <t>推定：中〜高(15〜35%)</t>
  </si>
  <si>
    <t>提携（台数要確認）</t>
  </si>
  <si>
    <t>駅近・ルーフトップ/大浴場等が強み。自前Pなしで提携運用。</t>
  </si>
  <si>
    <t>https://amanekhotels.jp/beppu/</t>
  </si>
  <si>
    <t>https://amanekhotels.jp/beppu/ https://www.jalan.net/yad383751/plan/ https://amanekhotels.jp/beppu/access/images/parking-guide.pdf</t>
  </si>
  <si>
    <t>ホテル（ビジネス）</t>
  </si>
  <si>
    <t>大分県別府市駅前本町6-28</t>
  </si>
  <si>
    <t>概算：¥6,500〜/人</t>
  </si>
  <si>
    <t>ビジネス・出張・素泊まり</t>
  </si>
  <si>
    <t>駅近・コスパ重視。長期滞在にも。温泉設備は限定的。</t>
  </si>
  <si>
    <t>https://amanekhotels.jp/beppu/ https://amanekhotels.jp/beppu/access/images/parking-guide.pdf</t>
  </si>
  <si>
    <t>ホテル（ブティック・温泉）</t>
  </si>
  <si>
    <t>株式会社FKS</t>
  </si>
  <si>
    <t>大分県別府市楠町19-15</t>
  </si>
  <si>
    <t>概算：¥12,000〜/人</t>
  </si>
  <si>
    <t>カップル・友人・小規模旅行</t>
  </si>
  <si>
    <t>14</t>
  </si>
  <si>
    <t>モダンデザイン×温泉。客室数少で体験品質高。繁忙期は在庫少。</t>
  </si>
  <si>
    <t>https://www.mure-beppu.com/</t>
  </si>
  <si>
    <t>https://barifuri-oita.com/spot/75157/ https://tp.furunavi.jp/Plan/Detail?plId=8646 https://www.buffett-code.com/company/nri9xhvge6/</t>
  </si>
  <si>
    <t>ホテル（オーシャンビュー）</t>
  </si>
  <si>
    <t>（要確認）</t>
  </si>
  <si>
    <t>大分県別府市若草町13-21</t>
  </si>
  <si>
    <t>概算：¥21,250〜/人（2名1室）</t>
  </si>
  <si>
    <t>カップル・ファミリー</t>
  </si>
  <si>
    <t>46</t>
  </si>
  <si>
    <t>全室オーシャンフロント。景観が強み。中心街からやや離れ。</t>
  </si>
  <si>
    <t>https://rexhotel-beppu.co.jp/</t>
  </si>
  <si>
    <t>https://www.aeoncompass.com/hotel/access/4424002018 https://www.jalan.net/yad353158/</t>
  </si>
  <si>
    <t>ホテル（オールインクルーシブ系）</t>
  </si>
  <si>
    <t>株式会社リロバケーションズ</t>
  </si>
  <si>
    <t>大分県別府市堀田町11-69</t>
  </si>
  <si>
    <t>概算：¥13,300〜/人（2名1室）</t>
  </si>
  <si>
    <t>カップル・女性旅</t>
  </si>
  <si>
    <t>37</t>
  </si>
  <si>
    <t>別府IC至近・オールインクルーシブが強み。市街地から距離あり。</t>
  </si>
  <si>
    <t>https://beppu-fuga.com/</t>
  </si>
  <si>
    <t>https://beppu-fuga.com/access https://beppu-fuga.com/ https://www.relo-vacations.com/company/outline/ https://www.jalan.net/yad372935/</t>
  </si>
  <si>
    <t>旅館（デザイン・温泉）</t>
  </si>
  <si>
    <t>株式会社関屋リゾート</t>
  </si>
  <si>
    <t>大分県別府市堀田5組</t>
  </si>
  <si>
    <t>概算：¥29,000〜/人（2名1室）</t>
  </si>
  <si>
    <t>カップル・記念日</t>
  </si>
  <si>
    <t>無料（台数要確認）</t>
  </si>
  <si>
    <t>高台の眺望・デザイン性が強み。アクセスは車前提。</t>
  </si>
  <si>
    <t>https://beppu-midoubaru.jp/</t>
  </si>
  <si>
    <t>https://beppu-midoubaru.jp/access/ https://www.ryokan.or.jp/inn/78935 https://www.buffett-code.com/company/9i4u5fyw7l/</t>
  </si>
  <si>
    <t>ホテル（アート・温泉）</t>
  </si>
  <si>
    <t>大分県別府市堀田6組</t>
  </si>
  <si>
    <t>概算：¥28,050〜/人（2名1室）</t>
  </si>
  <si>
    <t>カップル・富裕層・アート嗜好</t>
  </si>
  <si>
    <t>推定：中(10〜30%)</t>
  </si>
  <si>
    <t>40</t>
  </si>
  <si>
    <t>アート/建築体験＋温泉。非日常が強み。価格帯高め。</t>
  </si>
  <si>
    <t>https://beppu-galleria-midobaru.jp/</t>
  </si>
  <si>
    <t>https://beppu-galleria-midobaru.jp/facilities/ https://www.jalan.net/yad388339/ https://www.buffett-code.com/company/9i4u5fyw7l/</t>
  </si>
  <si>
    <t>ホテル（ラグジュアリー）</t>
  </si>
  <si>
    <t>IHG ANA Hotels Group Japan合同会社（運営）</t>
  </si>
  <si>
    <t>大分県別府市大字鉄輪499番地18</t>
  </si>
  <si>
    <t>概算：¥92,925〜/人（2名1室）</t>
  </si>
  <si>
    <t>富裕層・海外客・記念日</t>
  </si>
  <si>
    <t>推定：高(30〜60%)</t>
  </si>
  <si>
    <t>五つ星級リゾート＆スパ。海外客比率が高くなりやすい。価格は高水準。</t>
  </si>
  <si>
    <t>https://anaicbeppu.com/</t>
  </si>
  <si>
    <t>https://anaicbeppu.com/access/ https://www.jalan.net/yad322242/</t>
  </si>
  <si>
    <t>旅館（温泉リゾート）</t>
  </si>
  <si>
    <t>株式会社松秀</t>
  </si>
  <si>
    <t>大分県別府市上人ケ浜町6-24</t>
  </si>
  <si>
    <t>概算：¥26,620〜/人（2名1室）</t>
  </si>
  <si>
    <t>全室オーシャンビュー＋客室露天が強み。レストラン複数。</t>
  </si>
  <si>
    <t>https://www.seikai.co.jp/</t>
  </si>
  <si>
    <t>https://www.seikai.co.jp/ https://amane-resort.com/company/ https://travel.rakuten.co.jp/HOTEL/78242/78242.html https://www.jalan.net/yad316259/</t>
  </si>
  <si>
    <t>ホテル（プライベートリゾート）</t>
  </si>
  <si>
    <t>大分県別府市上人ケ浜町5-32</t>
  </si>
  <si>
    <t>概算：¥24,393〜/人（2名1室）</t>
  </si>
  <si>
    <t>カップル・大人旅</t>
  </si>
  <si>
    <t>松林の中の静かなリゾート。客室数少で満足度高。</t>
  </si>
  <si>
    <t>https://gahamaterrace.com/</t>
  </si>
  <si>
    <t>https://gahamaterrace.com/ https://tp.furunavi.jp/Plan/Detail?plId=2737 https://amane-resort.com/company/ https://www.jalan.net/yad386776/</t>
  </si>
  <si>
    <t>ホテル（温泉・団体対応）</t>
  </si>
  <si>
    <t>大分ヤクルト販売株式会社</t>
  </si>
  <si>
    <t>大分県別府市石垣東10-1-20</t>
  </si>
  <si>
    <t>概算：¥6,250〜/人（2名1室）</t>
  </si>
  <si>
    <t>団体・スポーツ合宿・ファミリー</t>
  </si>
  <si>
    <t>120</t>
  </si>
  <si>
    <t>大型駐車場・団体対応が強み。中心部から距離あり。</t>
  </si>
  <si>
    <t>https://www.hotelsunvalley.com/</t>
  </si>
  <si>
    <t>https://www.hotelsunvalley.com/facilities https://onsendo.beppu-navi.jp/y234/ https://www.jalan.net/yad320671/</t>
  </si>
  <si>
    <t>大分県別府市浜町10</t>
  </si>
  <si>
    <t>概算：¥5,270〜/人</t>
  </si>
  <si>
    <t>ビジネス・長期滞在</t>
  </si>
  <si>
    <t>推定：低(0〜10%)</t>
  </si>
  <si>
    <t>100</t>
  </si>
  <si>
    <t>シングル中心でコスパ・駐車100台が強み。観光向け設備はシンプル。</t>
  </si>
  <si>
    <t>https://www.good-inn.com/beppu/</t>
  </si>
  <si>
    <t>https://www.good-inn.com/beppu/ https://travel.kakaku.com/%E5%9B%BD%E5%86%85%E5%AE%BF%E6%B3%8A%E4%BA%88%E7%B4%84/%E3%82%B0%E3%83%83%E3%83%89%E3%82%A4%E3%83%B3%E5%88%A5%E5%BA%9C-10010110/</t>
  </si>
  <si>
    <t>大分県別府市野口元町2-40</t>
  </si>
  <si>
    <t>概算：¥7,400〜/人</t>
  </si>
  <si>
    <t>ビジネス・出張</t>
  </si>
  <si>
    <t>8</t>
  </si>
  <si>
    <t>別府駅西口徒歩1分で利便性が強み。駐車場は少数＋提携。</t>
  </si>
  <si>
    <t>https://b-daiiti.com/</t>
  </si>
  <si>
    <t>https://b-daiiti.com/about/index.html https://b-daiiti.com/faq/39/ https://www.jalan.net/yad313349/</t>
  </si>
  <si>
    <t>ホテル（温泉・複合）</t>
  </si>
  <si>
    <t>ホテルアーサー株式会社</t>
  </si>
  <si>
    <t>大分県別府市北浜1-2-5</t>
  </si>
  <si>
    <t>概算：¥9,100〜/人（朝食付）</t>
  </si>
  <si>
    <t>契約P（台数要確認）</t>
  </si>
  <si>
    <t>温泉＋サウナ＋カフェ併設の複合拠点。駐車は契約P運用。</t>
  </si>
  <si>
    <t>https://www.kitahama-base.com/</t>
  </si>
  <si>
    <t>https://onsendo.beppu-navi.jp/y94/ https://www.kitahama-base.com/access/ https://www.buffett-code.com/company/9trpk837nk/</t>
  </si>
  <si>
    <t>ホテル（シティ）</t>
  </si>
  <si>
    <t>株式会社 翼（翼リゾート）</t>
  </si>
  <si>
    <t>大分県別府市北浜2-14-35</t>
  </si>
  <si>
    <t>観光・ビジネス</t>
  </si>
  <si>
    <t>41</t>
  </si>
  <si>
    <t>別府湾ビュー客室あり・駅徒歩圏。駐車41台で車客にも対応。</t>
  </si>
  <si>
    <t>https://www.hotel-aile.jp/</t>
  </si>
  <si>
    <t>https://www.hotel-aile.jp/contact/ https://www.tsubasa-r.jp/facilities/</t>
  </si>
  <si>
    <t>旅館（小規模）</t>
  </si>
  <si>
    <t>有限会社ホテルなぎさ</t>
  </si>
  <si>
    <t>大分県別府市北浜3-10-10</t>
  </si>
  <si>
    <t>概算：¥5,500〜/人（素泊り）</t>
  </si>
  <si>
    <t>家族・ビジネス・温泉目的</t>
  </si>
  <si>
    <t>地魚料理が売り・別府タワー近く。駐車はあり（台数要確認）。</t>
  </si>
  <si>
    <t>http://beppu-nagisa.com/</t>
  </si>
  <si>
    <t>https://info.gbiz.go.jp/hojin/ichiran?hojinBango=3320002012405 https://beppu-workation.jp/hotel/1248/ https://onsen.nifty.com/beppushuuhen-onsen/onsen012839/</t>
  </si>
  <si>
    <t>ゲストハウス</t>
  </si>
  <si>
    <t>有限会社ジェイホッパーズ</t>
  </si>
  <si>
    <t>大分県別府市南的ケ浜町1-25</t>
  </si>
  <si>
    <t>概算：¥2,500〜/人（素泊り）</t>
  </si>
  <si>
    <t>バックパッカー・外国人・若年層</t>
  </si>
  <si>
    <t>推定：高(50%+)</t>
  </si>
  <si>
    <t>なし（近隣コインP）</t>
  </si>
  <si>
    <t>国際交流・共用スペースが強み。自転車貸出なし（現状）。</t>
  </si>
  <si>
    <t>https://beppu.j-hoppers.com/ja/</t>
  </si>
  <si>
    <t>https://beppu.j-hoppers.com/ja/ https://beppu-workation.jp/hotel/957/ https://tour.j-hoppers.com/company</t>
  </si>
  <si>
    <t>ホテル（温泉・シティ）</t>
  </si>
  <si>
    <t>株式会社鶴田ホテル</t>
  </si>
  <si>
    <t>大分県別府市北浜1-14-15</t>
  </si>
  <si>
    <t>概算：¥5,100〜/人（2名1室）</t>
  </si>
  <si>
    <t>33</t>
  </si>
  <si>
    <t>創業100年級の老舗。中心部立地が強み。駐車は隣接コインP（台数限定）。</t>
  </si>
  <si>
    <t>https://www.newtsuruta.com/</t>
  </si>
  <si>
    <t>https://www.newtsuruta.com/facilities/ https://www.jtb.co.jp/kokunai-hotel/htl/8410004/plan/ https://www.buffett-code.com/company/9fuz68bk88/ https://www.aeoncompass.com/hotel/access/4424002015</t>
  </si>
  <si>
    <t>旅館（海側）</t>
  </si>
  <si>
    <t>株式会社まつみ（要確認）</t>
  </si>
  <si>
    <t>大分県別府市北浜3-14-8</t>
  </si>
  <si>
    <t>概算：¥11,000〜/人</t>
  </si>
  <si>
    <t>ファミリー・女性旅・友人</t>
  </si>
  <si>
    <t>別府湾パノラマ大浴場が強み。中心部徒歩圏。</t>
  </si>
  <si>
    <t>https://www.new-matsumi.com/</t>
  </si>
  <si>
    <t>https://www.new-matsumi.com/ https://travel.rakuten.co.jp/HOTEL/16101/16101.html https://travel.furunavi.jp/90001310/ https://baseconnect.in/companies/29172a81-56db-4dea-a52a-0e84912bfa26</t>
  </si>
  <si>
    <t>旅館（ヴィラ／オールインクルーシブ）</t>
  </si>
  <si>
    <t>（要確認：山荘 神和苑グループ）</t>
  </si>
  <si>
    <t>大分県別府市大字鉄輪字山ノ上580-1</t>
  </si>
  <si>
    <t>概算：¥34,100〜/人（1泊2食）</t>
  </si>
  <si>
    <t>カップル・富裕層・ファミリー</t>
  </si>
  <si>
    <t>全室ヴィラ＋露天風呂・バレルサウナ。新規開業で話題性が強み。</t>
  </si>
  <si>
    <t>https://annex-umine.com/</t>
  </si>
  <si>
    <t>https://annex-umine.com/ https://jbc-web.info/%E5%88%A5%E9%A4%A8%E3%81%86%E3%81%BF%E3%81%AD/ https://www.kankokeizai.com/2512040900kks/</t>
  </si>
  <si>
    <t>大分県別府市北浜3-8-3</t>
  </si>
  <si>
    <t>概算：¥49,750〜/人</t>
  </si>
  <si>
    <t>カップル・大人旅・記念日</t>
  </si>
  <si>
    <t>全室半露天風呂付き等のプライベート感が強み。価格帯高め。</t>
  </si>
  <si>
    <t>https://umine.jp/</t>
  </si>
  <si>
    <t>https://map.yahoo.co.jp/v3/place/Wg0F_nKQWcE https://www.kayak.co.jp/%E5%88%A5%E5%BA%9C%E5%B8%82-%E3%83%9B%E3%83%86%E3%83%AB-%E3%83%9B%E3%83%86%E3%83%AB%E3%81%86%E3%81%BF%E3%81%AD.624843.ksp https://umine.jp/</t>
  </si>
  <si>
    <t>ホテル</t>
  </si>
  <si>
    <t>大分県別府市北浜3丁目14-8</t>
  </si>
  <si>
    <t>別府市旅館ホテル組合掲載（連絡先あり）</t>
  </si>
  <si>
    <t>大江戸温泉物語</t>
  </si>
  <si>
    <t>大分県別府市北浜2-12-21</t>
  </si>
  <si>
    <t>旅館</t>
  </si>
  <si>
    <t>大分県別府市楠町7-9</t>
  </si>
  <si>
    <t>大分県別府市弓ヶ浜町3番10号</t>
  </si>
  <si>
    <t>大分県別府市浜町10番</t>
  </si>
  <si>
    <t>大分県別府市北浜3丁目2-18</t>
  </si>
  <si>
    <t>大分県別府市北浜3丁目14-17</t>
  </si>
  <si>
    <t>大分県別府市北浜3丁目10-15</t>
  </si>
  <si>
    <t>大分県別府市北浜3丁目14-3</t>
  </si>
  <si>
    <t>大分県別府市北浜3丁目10-10</t>
  </si>
  <si>
    <t>大分県別府市北浜3丁目13-21</t>
  </si>
  <si>
    <t>大分県別府市北浜3丁目12-14</t>
  </si>
  <si>
    <t>大分県別府市北浜1丁目12-1</t>
  </si>
  <si>
    <t>大分県別府市北浜1丁目2-5</t>
  </si>
  <si>
    <t>大分県別府市北浜2丁目14-35</t>
  </si>
  <si>
    <t>スーパーホテル</t>
  </si>
  <si>
    <t>大分県別府市駅前町13-8</t>
  </si>
  <si>
    <t>大分県別府市駅前町12-8</t>
  </si>
  <si>
    <t>大分県別府市北浜3丁目10-23</t>
  </si>
  <si>
    <t>大分県別府市北浜3丁目8-7</t>
  </si>
  <si>
    <t>大分県別府市北浜3丁目10-26</t>
  </si>
  <si>
    <t>大分県別府市駅前本町10-25</t>
  </si>
  <si>
    <t>大分県別府市野口元町2-18</t>
  </si>
  <si>
    <t>大分県別府市上田の湯町5-22</t>
  </si>
  <si>
    <t>大分県別府市鶴見園町5組の1</t>
  </si>
  <si>
    <t>大分県別府市春木1-1</t>
  </si>
  <si>
    <t>大分県別府市田の湯町7-22</t>
  </si>
  <si>
    <t>大分県別府市新別府4組</t>
  </si>
  <si>
    <t>大分県別府市大字別府字乙原3783-1</t>
  </si>
  <si>
    <t>大分県別府市青山町5番73号</t>
  </si>
  <si>
    <t>大分県別府市東荘園町1組の4</t>
  </si>
  <si>
    <t>大分県別府市城島高原123番地</t>
  </si>
  <si>
    <t>大分県別府市大字南立石2218番5</t>
  </si>
  <si>
    <t>両築別邸</t>
  </si>
  <si>
    <t>大分県別府市観海寺3</t>
  </si>
  <si>
    <t>大分県別府市南立石字御堂原649番</t>
  </si>
  <si>
    <t>大分県別府市明礬4組</t>
  </si>
  <si>
    <t>大分県別府市明礬5組</t>
  </si>
  <si>
    <t>大分県別府市明礬2組</t>
  </si>
  <si>
    <t>大分県別府市明礬3組</t>
  </si>
  <si>
    <t>大分県別府市明礬7組</t>
  </si>
  <si>
    <t>大分県別府市明礬1組</t>
  </si>
  <si>
    <t>大分県別府市明礬5組の2</t>
  </si>
  <si>
    <t>大分県別府市鶴見照湯1413-13</t>
  </si>
  <si>
    <t>大分県別府市大字鉄輪字申川499番地18</t>
  </si>
  <si>
    <t>グランピング</t>
  </si>
  <si>
    <t>大分県別府市鶴見照湯1409-1</t>
  </si>
  <si>
    <t>大分県別府市鉄輪御幸4組</t>
  </si>
  <si>
    <t>大分県別府市小倉1組</t>
  </si>
  <si>
    <t>大分県別府市小倉4組</t>
  </si>
  <si>
    <t>大分県別府市鉄輪風呂本1組</t>
  </si>
  <si>
    <t>大分県別府市火売1組</t>
  </si>
  <si>
    <t>大分県別府市鉄輪上1組</t>
  </si>
  <si>
    <t>大分県別府市鉄輪風呂本2組</t>
  </si>
  <si>
    <t>大分県別府市小倉1組の3</t>
  </si>
  <si>
    <t>大分県別府市鉄輪上4組</t>
  </si>
  <si>
    <t>大分県別府市鉄輪上3組</t>
  </si>
  <si>
    <t>大分県別府市小倉3組</t>
  </si>
  <si>
    <t>大分県別府市鉄輪東6組</t>
  </si>
  <si>
    <t>大分県別府市大字鶴見659番1</t>
  </si>
  <si>
    <t>大分県別府市鶴見628-1</t>
  </si>
  <si>
    <t>大分県別府市鉄輪御幸3組</t>
  </si>
  <si>
    <t>湯快リゾート</t>
  </si>
  <si>
    <t>大分県別府市北中1組</t>
  </si>
  <si>
    <t>大分県別府市鉄輪風呂本6組</t>
  </si>
  <si>
    <t>民宿</t>
  </si>
  <si>
    <t>大分県別府市鉄輪井田1組</t>
  </si>
  <si>
    <t>大分県別府市鶴見676-2</t>
  </si>
  <si>
    <t>大分県別府市火売6組2</t>
  </si>
  <si>
    <t>大分県別府市鉄輪風呂本3組</t>
  </si>
  <si>
    <t>大分県別府市鉄輪東4組の2</t>
  </si>
  <si>
    <t>大分県別府市鉄輪井田2組</t>
  </si>
  <si>
    <t>大分県別府市火売3組</t>
  </si>
  <si>
    <t>大分県別府市鉄輪井田3組</t>
  </si>
  <si>
    <t>大分県別府市鉄輪北中7組</t>
  </si>
  <si>
    <t>大分県別府市鉄輪御幸3組648</t>
  </si>
  <si>
    <t>大分県別府市鉄輪上6組</t>
  </si>
  <si>
    <t>大分県別府市大字鉄輪345番地</t>
  </si>
  <si>
    <t>大分県別府市石垣東10丁目2-33</t>
  </si>
  <si>
    <t>追加候補（要確認項目あり）</t>
  </si>
  <si>
    <t>大分県別府市堀田7組</t>
  </si>
  <si>
    <t>大分県別府市駅前町13-4</t>
  </si>
  <si>
    <t>大分県別府市北浜3丁目2-20</t>
  </si>
  <si>
    <t>大分県別府市北浜2丁目4-21</t>
  </si>
  <si>
    <t>大分県別府市北浜3丁目10-2</t>
  </si>
  <si>
    <t>カプセルホテル</t>
  </si>
  <si>
    <t>大分県別府市北浜2丁目12-9</t>
  </si>
  <si>
    <t>大分県別府市駅前本町9-7</t>
  </si>
  <si>
    <t>大分県別府市駅前町9-14</t>
  </si>
  <si>
    <t>大分県別府市北浜1丁目2-11</t>
  </si>
  <si>
    <t>大分県別府市大字鶴見</t>
  </si>
  <si>
    <t>大分県別府市鉄輪</t>
  </si>
  <si>
    <t>大分県別府市鉄輪井田</t>
  </si>
  <si>
    <t>大分県別府市明礬</t>
  </si>
  <si>
    <t>大分県別府市北浜</t>
  </si>
  <si>
    <t>大分県別府市</t>
  </si>
  <si>
    <t>大分県別府市堀田</t>
  </si>
  <si>
    <t>大分県別府市堀田7組1</t>
  </si>
  <si>
    <t>大分県別府市南立石2218-5</t>
  </si>
  <si>
    <t>興味なし/NG</t>
  </si>
  <si>
    <t>STAGE_LIST</t>
  </si>
  <si>
    <t>STATUS_LIST</t>
  </si>
  <si>
    <t>MAP_STAGE</t>
  </si>
  <si>
    <t>MAP_RANGE</t>
  </si>
  <si>
    <t>折返し待ち</t>
  </si>
  <si>
    <t>再架電予定</t>
  </si>
  <si>
    <t>資料送付</t>
  </si>
  <si>
    <t>訪問/MTG確定</t>
  </si>
  <si>
    <t>NG</t>
  </si>
  <si>
    <t>保留</t>
  </si>
  <si>
    <t>完了</t>
  </si>
  <si>
    <t>別府市内</t>
    <phoneticPr fontId="1"/>
  </si>
  <si>
    <t>特定小型原付のシェアリング</t>
    <phoneticPr fontId="1"/>
  </si>
  <si>
    <t>キンタマ</t>
    <phoneticPr fontId="1"/>
  </si>
  <si>
    <t>ありがとうございます。別府市内で宿泊者さま向けに特定小型原付のシェアリング（宿泊者向け貸出）を立ち上げています。設置候補としてご相談したくご連絡しました。ポイントを30秒で3つだけお伝えします。※内容は要検討</t>
    <rPh sb="0" eb="1">
      <t>コメ</t>
    </rPh>
    <phoneticPr fontId="1"/>
  </si>
  <si>
    <t xml:space="preserve">資料上は「車体と管理システムを一気通貫」や「4G×NFCの貸出管理」「GPS追跡/緊急連絡」などが示されています。ここが“どこまで含まれるのか”が全コストに直結します。 </t>
  </si>
  <si>
    <t>glafit - 案内資料</t>
  </si>
  <si>
    <r>
      <t>質問</t>
    </r>
    <r>
      <rPr>
        <sz val="12"/>
        <color theme="1"/>
        <rFont val="游ゴシック"/>
        <family val="2"/>
        <charset val="128"/>
        <scheme val="minor"/>
      </rPr>
      <t>：今回の想定（宿泊施設で貸出/返却）で、glafit側が提供するのは何ですか？</t>
    </r>
  </si>
  <si>
    <t>①車体（NFR-01 Pro）</t>
  </si>
  <si>
    <t>②スマートロック（NFC/IC/アプリ解錠など）</t>
  </si>
  <si>
    <t>③管理者ダッシュボード（稼働/売上/故障/位置）</t>
  </si>
  <si>
    <t>④ユーザーアプリ（多言語・決済・利用規約同意・緊急連絡）</t>
  </si>
  <si>
    <t>⑤サポート窓口（事故/トラブル一次受け）</t>
  </si>
  <si>
    <t>⑥GPS追跡・ジオフェンス等（あれば）</t>
  </si>
  <si>
    <r>
      <t>質問</t>
    </r>
    <r>
      <rPr>
        <sz val="12"/>
        <color theme="1"/>
        <rFont val="游ゴシック"/>
        <family val="2"/>
        <charset val="128"/>
        <scheme val="minor"/>
      </rPr>
      <t>：上記のうち「必須セット」と「オプション」を明確にしてください（単価と条件も）。</t>
    </r>
  </si>
  <si>
    <t>2) 価格（車両を安く仕入れる）— “買い切り/リース/サブスク” を比較させる</t>
  </si>
  <si>
    <t xml:space="preserve">NFR-01 Proの販売価格（税別270,000円）が資料にあります。これを基準に「何台ならいくらまで落ちるか」を聞きにいく。 </t>
  </si>
  <si>
    <r>
      <t>質問</t>
    </r>
    <r>
      <rPr>
        <sz val="12"/>
        <color theme="1"/>
        <rFont val="游ゴシック"/>
        <family val="2"/>
        <charset val="128"/>
        <scheme val="minor"/>
      </rPr>
      <t xml:space="preserve">：NFR-01 Proの購入価格（税別270,000円）について </t>
    </r>
  </si>
  <si>
    <r>
      <t>①</t>
    </r>
    <r>
      <rPr>
        <b/>
        <sz val="12"/>
        <color theme="1"/>
        <rFont val="游ゴシック"/>
        <family val="3"/>
        <charset val="128"/>
        <scheme val="minor"/>
      </rPr>
      <t>台数別ディスカウント</t>
    </r>
    <r>
      <rPr>
        <sz val="12"/>
        <color theme="1"/>
        <rFont val="游ゴシック"/>
        <family val="2"/>
        <charset val="128"/>
        <scheme val="minor"/>
      </rPr>
      <t>（6台/12台/24台など）</t>
    </r>
  </si>
  <si>
    <r>
      <t>②</t>
    </r>
    <r>
      <rPr>
        <b/>
        <sz val="12"/>
        <color theme="1"/>
        <rFont val="游ゴシック"/>
        <family val="3"/>
        <charset val="128"/>
        <scheme val="minor"/>
      </rPr>
      <t>デモ機/実証価格</t>
    </r>
    <r>
      <rPr>
        <sz val="12"/>
        <color theme="1"/>
        <rFont val="游ゴシック"/>
        <family val="2"/>
        <charset val="128"/>
        <scheme val="minor"/>
      </rPr>
      <t>（30日実証→本導入で相殺できるか）</t>
    </r>
  </si>
  <si>
    <r>
      <t>③</t>
    </r>
    <r>
      <rPr>
        <b/>
        <sz val="12"/>
        <color theme="1"/>
        <rFont val="游ゴシック"/>
        <family val="3"/>
        <charset val="128"/>
        <scheme val="minor"/>
      </rPr>
      <t>再販・リプレイス時の下取り</t>
    </r>
    <r>
      <rPr>
        <sz val="12"/>
        <color theme="1"/>
        <rFont val="游ゴシック"/>
        <family val="2"/>
        <charset val="128"/>
        <scheme val="minor"/>
      </rPr>
      <t>（劣化車両の扱い）</t>
    </r>
  </si>
  <si>
    <r>
      <t>質問</t>
    </r>
    <r>
      <rPr>
        <sz val="12"/>
        <color theme="1"/>
        <rFont val="游ゴシック"/>
        <family val="2"/>
        <charset val="128"/>
        <scheme val="minor"/>
      </rPr>
      <t>：買い切り以外の選択肢</t>
    </r>
  </si>
  <si>
    <t>①**リース（メンテ込み/無し）**は可能？期間・中途解約・残価</t>
  </si>
  <si>
    <t xml:space="preserve">②「導入費用とメンテ代をリースでまとめる」想定の具体条件は？ </t>
  </si>
  <si>
    <r>
      <t>質問</t>
    </r>
    <r>
      <rPr>
        <sz val="12"/>
        <color theme="1"/>
        <rFont val="游ゴシック"/>
        <family val="2"/>
        <charset val="128"/>
        <scheme val="minor"/>
      </rPr>
      <t>：車体のカスタム（塗装・ロゴ等）はいくら/納期は？（資料に別途費用可能とあり）</t>
    </r>
  </si>
  <si>
    <t>3) 初期コストを抑えて“システムだけ使う”ための質問（ここが本丸）</t>
  </si>
  <si>
    <t xml:space="preserve">資料では「月額システム利用料 ¥3,000/台」「通信料(2年目以降) ¥1,000/台」など例が出ています。ここが“本当にそのまま適用できるか”を詰める。 </t>
  </si>
  <si>
    <r>
      <t>質問</t>
    </r>
    <r>
      <rPr>
        <sz val="12"/>
        <color theme="1"/>
        <rFont val="游ゴシック"/>
        <family val="2"/>
        <charset val="128"/>
        <scheme val="minor"/>
      </rPr>
      <t xml:space="preserve">：月額システム利用料（例：3,000円/台）に何が含まれますか？ </t>
    </r>
  </si>
  <si>
    <t>管理画面、ユーザーアプリ、決済、ロック制御、GPS、緊急連絡、サポート、レポート…どこまで？</t>
  </si>
  <si>
    <r>
      <t>質問</t>
    </r>
    <r>
      <rPr>
        <sz val="12"/>
        <color theme="1"/>
        <rFont val="游ゴシック"/>
        <family val="2"/>
        <charset val="128"/>
        <scheme val="minor"/>
      </rPr>
      <t>：初期費用（セットアップ費、アカウント発行、初期設定、設置講習）は発生しますか？</t>
    </r>
  </si>
  <si>
    <r>
      <t xml:space="preserve">発生するなら </t>
    </r>
    <r>
      <rPr>
        <b/>
        <sz val="12"/>
        <color theme="1"/>
        <rFont val="游ゴシック"/>
        <family val="3"/>
        <charset val="128"/>
        <scheme val="minor"/>
      </rPr>
      <t>「初年度0円/成果連動/台数が増えたら免除」</t>
    </r>
    <r>
      <rPr>
        <sz val="12"/>
        <color theme="1"/>
        <rFont val="游ゴシック"/>
        <family val="2"/>
        <charset val="128"/>
        <scheme val="minor"/>
      </rPr>
      <t xml:space="preserve"> の交渉余地</t>
    </r>
  </si>
  <si>
    <r>
      <t>質問</t>
    </r>
    <r>
      <rPr>
        <sz val="12"/>
        <color theme="1"/>
        <rFont val="游ゴシック"/>
        <family val="2"/>
        <charset val="128"/>
        <scheme val="minor"/>
      </rPr>
      <t>：通信（4G）について</t>
    </r>
  </si>
  <si>
    <t xml:space="preserve">Softbank 4G×NFCとありますが、回線契約はglafit側？こちら側？ </t>
  </si>
  <si>
    <r>
      <t>2年目以降の通信料が例示されていますが、</t>
    </r>
    <r>
      <rPr>
        <b/>
        <sz val="12"/>
        <color theme="1"/>
        <rFont val="游ゴシック"/>
        <family val="3"/>
        <charset val="128"/>
        <scheme val="minor"/>
      </rPr>
      <t>1年目は誰負担？</t>
    </r>
    <r>
      <rPr>
        <sz val="12"/>
        <color theme="1"/>
        <rFont val="游ゴシック"/>
        <family val="2"/>
        <charset val="128"/>
        <scheme val="minor"/>
      </rPr>
      <t xml:space="preserve"> </t>
    </r>
  </si>
  <si>
    <r>
      <t>質問</t>
    </r>
    <r>
      <rPr>
        <sz val="12"/>
        <color theme="1"/>
        <rFont val="游ゴシック"/>
        <family val="2"/>
        <charset val="128"/>
        <scheme val="minor"/>
      </rPr>
      <t>：施設が屋内駐輪＋充電を負担するモデルの場合、システム側で「充電忘れ/バッテリー残量」の可視化や通知は可能？</t>
    </r>
  </si>
  <si>
    <t xml:space="preserve">資料は「レンタサイクルではない」「高い運用性」「忙しい施設でもらくらく」など。実態として何ができるかを具体化。 </t>
  </si>
  <si>
    <r>
      <t>質問</t>
    </r>
    <r>
      <rPr>
        <sz val="12"/>
        <color theme="1"/>
        <rFont val="游ゴシック"/>
        <family val="2"/>
        <charset val="128"/>
        <scheme val="minor"/>
      </rPr>
      <t>：宿泊者向け“館内貸出”に必要な仕様</t>
    </r>
  </si>
  <si>
    <t>①チェックイン〜チェックアウトの時間帯制御（夜間貸出停止など）</t>
  </si>
  <si>
    <t>②身分確認（免許不要だが年齢制限16歳以上）同意フロー</t>
  </si>
  <si>
    <t>③多言語対応の範囲（英/中/韓）</t>
  </si>
  <si>
    <t>④クレカ決済（与信/デポジット/ペナルティ）</t>
  </si>
  <si>
    <t>⑤スマホなしの例外運用（フロント貸出）可能？</t>
  </si>
  <si>
    <r>
      <t>質問</t>
    </r>
    <r>
      <rPr>
        <sz val="12"/>
        <color theme="1"/>
        <rFont val="游ゴシック"/>
        <family val="2"/>
        <charset val="128"/>
        <scheme val="minor"/>
      </rPr>
      <t xml:space="preserve">：料金は「施設が自由設定」と資料にありますが </t>
    </r>
  </si>
  <si>
    <r>
      <t xml:space="preserve">①分課金/時間課金/日額/宿泊込み（無料）など </t>
    </r>
    <r>
      <rPr>
        <b/>
        <sz val="12"/>
        <color theme="1"/>
        <rFont val="游ゴシック"/>
        <family val="3"/>
        <charset val="128"/>
        <scheme val="minor"/>
      </rPr>
      <t>どこまで対応</t>
    </r>
    <r>
      <rPr>
        <sz val="12"/>
        <color theme="1"/>
        <rFont val="游ゴシック"/>
        <family val="2"/>
        <charset val="128"/>
        <scheme val="minor"/>
      </rPr>
      <t>？</t>
    </r>
  </si>
  <si>
    <t>②返却遅延・紛失・破損の課金ロジックは？</t>
  </si>
  <si>
    <t>4) 運用の肝：宿泊施設モデルに合わせた“機能要件”確認</t>
  </si>
  <si>
    <t>5) メンテ/故障/事故対応（誰が何をやるかを契約に落とす）</t>
  </si>
  <si>
    <t xml:space="preserve">資料にメンテサポート体制（マニュアル、サポートダイヤル、LINE、講習会、テストパーツ）があります。ここは“運用の安心”の価値。 </t>
  </si>
  <si>
    <r>
      <t>質問</t>
    </r>
    <r>
      <rPr>
        <sz val="12"/>
        <color theme="1"/>
        <rFont val="游ゴシック"/>
        <family val="2"/>
        <charset val="128"/>
        <scheme val="minor"/>
      </rPr>
      <t>：保守のSLA（故障時の一次対応、代替機、復旧目安）</t>
    </r>
  </si>
  <si>
    <t>例：ロック不具合/通信断/パンク/ブレーキ不調の切り分けと対応窓口</t>
  </si>
  <si>
    <r>
      <t>質問</t>
    </r>
    <r>
      <rPr>
        <sz val="12"/>
        <color theme="1"/>
        <rFont val="游ゴシック"/>
        <family val="2"/>
        <charset val="128"/>
        <scheme val="minor"/>
      </rPr>
      <t xml:space="preserve">：講習会の頻度と費用、現地対応の範囲（別府での駆けつけは？） </t>
    </r>
  </si>
  <si>
    <r>
      <t>質問</t>
    </r>
    <r>
      <rPr>
        <sz val="12"/>
        <color theme="1"/>
        <rFont val="游ゴシック"/>
        <family val="2"/>
        <charset val="128"/>
        <scheme val="minor"/>
      </rPr>
      <t>：消耗品（タイヤ/ブレーキ/バッテリー）の交換単価と、年間保守費モデル（定額/都度）</t>
    </r>
  </si>
  <si>
    <t>6) 収益モデル・最低台数・契約条件（ここで初期コストを抑える）</t>
  </si>
  <si>
    <t xml:space="preserve">資料に「1台あたり15,000円/月で導入可能」など例が出ています。これを“実証条件”に落として交渉。 </t>
  </si>
  <si>
    <r>
      <t>質問</t>
    </r>
    <r>
      <rPr>
        <sz val="12"/>
        <color theme="1"/>
        <rFont val="游ゴシック"/>
        <family val="2"/>
        <charset val="128"/>
        <scheme val="minor"/>
      </rPr>
      <t>：宿泊施設向けの標準プランは？</t>
    </r>
  </si>
  <si>
    <t>①最低導入台数（4台以下だとSIM不要、など運用条件があるなら明確化）</t>
  </si>
  <si>
    <t>②月額（車体＋メンテ＋システム）を分解して提示してほしい</t>
  </si>
  <si>
    <r>
      <t>質問</t>
    </r>
    <r>
      <rPr>
        <sz val="12"/>
        <color theme="1"/>
        <rFont val="游ゴシック"/>
        <family val="2"/>
        <charset val="128"/>
        <scheme val="minor"/>
      </rPr>
      <t>：</t>
    </r>
    <r>
      <rPr>
        <b/>
        <sz val="12"/>
        <color theme="1"/>
        <rFont val="游ゴシック"/>
        <family val="3"/>
        <charset val="128"/>
        <scheme val="minor"/>
      </rPr>
      <t>30日実証→本導入</t>
    </r>
    <r>
      <rPr>
        <sz val="12"/>
        <color theme="1"/>
        <rFont val="游ゴシック"/>
        <family val="2"/>
        <charset val="128"/>
        <scheme val="minor"/>
      </rPr>
      <t>の条件（解約可/違約金/成果指標）</t>
    </r>
  </si>
  <si>
    <t>KPI：稼働率、売上、満足度、クレーム、事故ゼロ、など</t>
  </si>
  <si>
    <t>7) “安く仕入れたい”×“システムは使いたい”の交渉の言い方（刺さりやすい）</t>
  </si>
  <si>
    <r>
      <t xml:space="preserve">「最初は**6台×2拠点（計12台）**で実証して、勝ちパターンができたら横展開したい。だから </t>
    </r>
    <r>
      <rPr>
        <b/>
        <sz val="12"/>
        <color theme="1"/>
        <rFont val="游ゴシック"/>
        <family val="3"/>
        <charset val="128"/>
        <scheme val="minor"/>
      </rPr>
      <t>初期費用ゼロ or 最小</t>
    </r>
    <r>
      <rPr>
        <sz val="12"/>
        <color theme="1"/>
        <rFont val="游ゴシック"/>
        <family val="2"/>
        <charset val="128"/>
        <scheme val="minor"/>
      </rPr>
      <t>で入りたい」</t>
    </r>
  </si>
  <si>
    <r>
      <t xml:space="preserve">「車体の仕入れは、台数が読めるので </t>
    </r>
    <r>
      <rPr>
        <b/>
        <sz val="12"/>
        <color theme="1"/>
        <rFont val="游ゴシック"/>
        <family val="3"/>
        <charset val="128"/>
        <scheme val="minor"/>
      </rPr>
      <t>数量ディスカウント＋追加発注の単価保証</t>
    </r>
    <r>
      <rPr>
        <sz val="12"/>
        <color theme="1"/>
        <rFont val="游ゴシック"/>
        <family val="2"/>
        <charset val="128"/>
        <scheme val="minor"/>
      </rPr>
      <t>が欲しい」</t>
    </r>
  </si>
  <si>
    <r>
      <t>「宿泊施設の導入ハードルは“費用と事故不安”なので、</t>
    </r>
    <r>
      <rPr>
        <b/>
        <sz val="12"/>
        <color theme="1"/>
        <rFont val="游ゴシック"/>
        <family val="3"/>
        <charset val="128"/>
        <scheme val="minor"/>
      </rPr>
      <t>保険/事故フロー/緊急窓口</t>
    </r>
    <r>
      <rPr>
        <sz val="12"/>
        <color theme="1"/>
        <rFont val="游ゴシック"/>
        <family val="2"/>
        <charset val="128"/>
        <scheme val="minor"/>
      </rPr>
      <t>のパッケージを前面に出したい（glafit側でテンプレ提供できるか）」</t>
    </r>
  </si>
  <si>
    <t>1) 「提供範囲」の切り分け</t>
    <phoneticPr fontId="1"/>
  </si>
  <si>
    <t>・スマートロック（NFC/IC/アプリ解錠など）</t>
    <rPh sb="0" eb="1">
      <t>テン</t>
    </rPh>
    <phoneticPr fontId="1"/>
  </si>
  <si>
    <t>・ユーザーアプリ（多言語・決済・利用規約同意・緊急連絡）</t>
    <rPh sb="0" eb="1">
      <t>テン</t>
    </rPh>
    <phoneticPr fontId="1"/>
  </si>
  <si>
    <t>・サポート窓口（事故/トラブル一次受け）</t>
    <rPh sb="0" eb="1">
      <t>テン</t>
    </rPh>
    <phoneticPr fontId="1"/>
  </si>
  <si>
    <t>・（要確認）管理者ダッシュボード（稼働/売上/故障/位置）</t>
    <rPh sb="0" eb="1">
      <t>テン</t>
    </rPh>
    <phoneticPr fontId="1"/>
  </si>
  <si>
    <t>▪️月額システム使用料＝これの中身は要確認だが前回までの情報では以下の通り</t>
    <rPh sb="0" eb="2">
      <t>シカク</t>
    </rPh>
    <rPh sb="2" eb="4">
      <t>ツキg</t>
    </rPh>
    <phoneticPr fontId="1"/>
  </si>
  <si>
    <t>▪️通信料＝ソフトバンク4G</t>
    <rPh sb="0" eb="2">
      <t>シカク</t>
    </rPh>
    <rPh sb="2" eb="5">
      <t>ツウシンリョ</t>
    </rPh>
    <phoneticPr fontId="1"/>
  </si>
  <si>
    <t>▪️メンテナンス＝おそらく、自前でできるので消耗品交換だけで済むはず</t>
    <phoneticPr fontId="1"/>
  </si>
  <si>
    <t>▪️車両＝これ最上位モデル。20万くらいのモデルもあるが以下システム使用不可</t>
    <rPh sb="0" eb="2">
      <t>▪️シャリョ</t>
    </rPh>
    <phoneticPr fontId="1"/>
  </si>
  <si>
    <t>↓６台運用して稼働率５％の収支イメージ</t>
    <rPh sb="0" eb="1">
      <t>シタ</t>
    </rPh>
    <phoneticPr fontId="1"/>
  </si>
  <si>
    <t>位置情報が分かる</t>
    <rPh sb="0" eb="1">
      <t>ワカr</t>
    </rPh>
    <phoneticPr fontId="1"/>
  </si>
  <si>
    <t>Liteは使えない</t>
    <rPh sb="0" eb="1">
      <t>ツカ</t>
    </rPh>
    <phoneticPr fontId="1"/>
  </si>
  <si>
    <t>下取り</t>
    <rPh sb="0" eb="2">
      <t>シタドr</t>
    </rPh>
    <phoneticPr fontId="1"/>
  </si>
  <si>
    <t>なし</t>
    <phoneticPr fontId="1"/>
  </si>
  <si>
    <t>英語中国韓国</t>
    <rPh sb="0" eb="2">
      <t>エイg</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</si>
</sst>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游ゴシック"/>
      <family val="2"/>
      <charset val="128"/>
      <scheme val="minor"/>
    </font>
    <font>
      <sz val="6"/>
      <name val="游ゴシック"/>
      <family val="2"/>
      <charset val="128"/>
      <scheme val="minor"/>
    </font>
    <font>
      <b/>
      <sz val="12"/>
      <name val="游ゴシック"/>
      <family val="3"/>
      <charset val="128"/>
    </font>
    <font>
      <b/>
      <sz val="14"/>
      <name val="游ゴシック"/>
      <family val="3"/>
      <charset val="128"/>
    </font>
    <font>
      <b/>
      <sz val="12"/>
      <color rgb="FFFFFFFF"/>
      <name val="游ゴシック"/>
      <family val="3"/>
      <charset val="128"/>
    </font>
    <font>
      <sz val="12"/>
      <color rgb="FF0000FF"/>
      <name val="游ゴシック"/>
      <family val="3"/>
      <charset val="128"/>
    </font>
    <font>
      <i/>
      <sz val="12"/>
      <color rgb="FF666666"/>
      <name val="游ゴシック"/>
      <family val="3"/>
      <charset val="128"/>
    </font>
    <font>
      <b/>
      <sz val="18"/>
      <color theme="1"/>
      <name val="游ゴシック"/>
      <family val="3"/>
      <charset val="128"/>
      <scheme val="minor"/>
    </font>
    <font>
      <b/>
      <sz val="12"/>
      <color theme="1"/>
      <name val="游ゴシック"/>
      <family val="3"/>
      <charset val="128"/>
      <scheme val="minor"/>
    </font>
  </fonts>
  <fills count="3">
    <fill>
      <patternFill patternType="none"/>
    </fill>
    <fill>
      <patternFill patternType="gray125"/>
    </fill>
    <fill>
      <patternFill patternType="solid">
        <fgColor rgb="FF1F4E79"/>
      </patternFill>
    </fill>
  </fills>
  <borders count="4">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s>
  <cellStyleXfs count="1">
    <xf numFmtId="0" fontId="0" fillId="0" borderId="0">
      <alignment vertical="center"/>
    </xf>
  </cellStyleXfs>
  <cellXfs count="22">
    <xf numFmtId="0" fontId="0" fillId="0" borderId="0" xfId="0" applyAlignment="1">
      <alignment vertical="center"/>
    </xf>
    <xf numFmtId="0" fontId="0" fillId="0" borderId="0" xfId="0" applyAlignment="1">
      <alignment vertical="center"/>
    </xf>
    <xf numFmtId="0" fontId="0" fillId="0" borderId="0" xfId="0" applyAlignment="1"/>
    <xf numFmtId="0" fontId="2" fillId="0" borderId="0" xfId="0" applyFont="1" applyAlignment="1">
      <alignment vertical="center" wrapText="1"/>
    </xf>
    <xf numFmtId="0" fontId="0" fillId="0" borderId="0" xfId="0" applyAlignment="1">
      <alignment vertical="top" wrapText="1"/>
    </xf>
    <xf numFmtId="0" fontId="4" fillId="2" borderId="1" xfId="0" applyFont="1" applyFill="1" applyBorder="1" applyAlignment="1">
      <alignment horizontal="center" vertical="center" wrapText="1"/>
    </xf>
    <xf numFmtId="0" fontId="5" fillId="0" borderId="0" xfId="0" applyFont="1" applyAlignment="1"/>
    <xf numFmtId="0" fontId="4" fillId="2" borderId="1" xfId="0" applyFont="1" applyFill="1" applyBorder="1" applyAlignment="1">
      <alignment horizontal="center" vertical="center"/>
    </xf>
    <xf numFmtId="0" fontId="0" fillId="0" borderId="1" xfId="0" applyBorder="1" applyAlignment="1">
      <alignment vertical="center" wrapText="1"/>
    </xf>
    <xf numFmtId="0" fontId="5" fillId="0" borderId="1" xfId="0" applyFont="1" applyBorder="1" applyAlignment="1">
      <alignment vertical="center" wrapText="1"/>
    </xf>
    <xf numFmtId="0" fontId="0" fillId="0" borderId="1" xfId="0" applyBorder="1" applyAlignment="1">
      <alignment vertical="top" wrapText="1"/>
    </xf>
    <xf numFmtId="0" fontId="5" fillId="0" borderId="0" xfId="0" applyFont="1" applyAlignment="1">
      <alignment vertical="center"/>
    </xf>
    <xf numFmtId="0" fontId="4" fillId="2" borderId="1" xfId="0" applyFont="1" applyFill="1" applyBorder="1" applyAlignment="1">
      <alignment vertical="top" wrapText="1"/>
    </xf>
    <xf numFmtId="0" fontId="7" fillId="0" borderId="0" xfId="0" applyFont="1" applyAlignment="1">
      <alignment vertical="center"/>
    </xf>
    <xf numFmtId="0" fontId="8" fillId="0" borderId="0" xfId="0" applyFont="1" applyAlignment="1">
      <alignment vertical="center"/>
    </xf>
    <xf numFmtId="0" fontId="6" fillId="0" borderId="0" xfId="0" applyFont="1" applyAlignment="1">
      <alignment vertical="center" wrapText="1"/>
    </xf>
    <xf numFmtId="0" fontId="0" fillId="0" borderId="0" xfId="0" applyAlignment="1"/>
    <xf numFmtId="0" fontId="3" fillId="0" borderId="0" xfId="0" applyFont="1" applyAlignment="1"/>
    <xf numFmtId="0" fontId="0" fillId="0" borderId="1" xfId="0" applyBorder="1" applyAlignment="1">
      <alignment vertical="top" wrapText="1"/>
    </xf>
    <xf numFmtId="0" fontId="0" fillId="0" borderId="2" xfId="0" applyBorder="1" applyAlignment="1"/>
    <xf numFmtId="0" fontId="0" fillId="0" borderId="3" xfId="0" applyBorder="1" applyAlignment="1"/>
    <xf numFmtId="0" fontId="2" fillId="0" borderId="0" xfId="0" applyFont="1"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114300</xdr:rowOff>
    </xdr:from>
    <xdr:to>
      <xdr:col>8</xdr:col>
      <xdr:colOff>279400</xdr:colOff>
      <xdr:row>13</xdr:row>
      <xdr:rowOff>127000</xdr:rowOff>
    </xdr:to>
    <xdr:pic>
      <xdr:nvPicPr>
        <xdr:cNvPr id="2" name="図 1">
          <a:extLst>
            <a:ext uri="{FF2B5EF4-FFF2-40B4-BE49-F238E27FC236}">
              <a16:creationId xmlns:a16="http://schemas.microsoft.com/office/drawing/2014/main" id="{16EF5C20-BE8A-DB40-9BC7-D0874FAF0E13}"/>
            </a:ext>
          </a:extLst>
        </xdr:cNvPr>
        <xdr:cNvPicPr>
          <a:picLocks noChangeAspect="1"/>
        </xdr:cNvPicPr>
      </xdr:nvPicPr>
      <xdr:blipFill>
        <a:blip xmlns:r="http://schemas.openxmlformats.org/officeDocument/2006/relationships" r:embed="rId1"/>
        <a:stretch>
          <a:fillRect/>
        </a:stretch>
      </xdr:blipFill>
      <xdr:spPr>
        <a:xfrm>
          <a:off x="952500" y="368300"/>
          <a:ext cx="6946900" cy="3060700"/>
        </a:xfrm>
        <a:prstGeom prst="rect">
          <a:avLst/>
        </a:prstGeom>
      </xdr:spPr>
    </xdr:pic>
    <xdr:clientData/>
  </xdr:twoCellAnchor>
  <xdr:twoCellAnchor editAs="oneCell">
    <xdr:from>
      <xdr:col>7</xdr:col>
      <xdr:colOff>166310</xdr:colOff>
      <xdr:row>11</xdr:row>
      <xdr:rowOff>241905</xdr:rowOff>
    </xdr:from>
    <xdr:to>
      <xdr:col>15</xdr:col>
      <xdr:colOff>417832</xdr:colOff>
      <xdr:row>33</xdr:row>
      <xdr:rowOff>105833</xdr:rowOff>
    </xdr:to>
    <xdr:pic>
      <xdr:nvPicPr>
        <xdr:cNvPr id="3" name="図 2">
          <a:extLst>
            <a:ext uri="{FF2B5EF4-FFF2-40B4-BE49-F238E27FC236}">
              <a16:creationId xmlns:a16="http://schemas.microsoft.com/office/drawing/2014/main" id="{595EAD38-621A-C547-BFD1-CAEAAA135D2D}"/>
            </a:ext>
          </a:extLst>
        </xdr:cNvPr>
        <xdr:cNvPicPr>
          <a:picLocks noChangeAspect="1"/>
        </xdr:cNvPicPr>
      </xdr:nvPicPr>
      <xdr:blipFill>
        <a:blip xmlns:r="http://schemas.openxmlformats.org/officeDocument/2006/relationships" r:embed="rId2"/>
        <a:stretch>
          <a:fillRect/>
        </a:stretch>
      </xdr:blipFill>
      <xdr:spPr>
        <a:xfrm>
          <a:off x="6365120" y="3069167"/>
          <a:ext cx="7871522" cy="5518452"/>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sheetPr>
  <dimension ref="A1:DG152"/>
  <sheetViews>
    <sheetView showGridLines="0" tabSelected="1" workbookViewId="0">
      <pane ySplit="1" topLeftCell="A5" activePane="bottomLeft" state="frozen"/>
      <selection pane="bottomLeft" activeCell="C18" sqref="C18"/>
    </sheetView>
  </sheetViews>
  <sheetFormatPr baseColWidth="10" defaultColWidth="8.7109375" defaultRowHeight="20"/>
  <cols>
    <col min="1" max="1" width="5" style="2" customWidth="1"/>
    <col min="2" max="2" width="28" style="2" customWidth="1"/>
    <col min="3" max="3" width="15" style="2" customWidth="1"/>
    <col min="4" max="4" width="12" style="2" customWidth="1"/>
    <col min="5" max="5" width="16" style="2" customWidth="1"/>
    <col min="6" max="6" width="14" style="2" customWidth="1"/>
    <col min="7" max="7" width="18" style="2" customWidth="1"/>
    <col min="8" max="8" width="22" style="2" customWidth="1"/>
    <col min="9" max="9" width="75" style="2" customWidth="1"/>
    <col min="10" max="10" width="16" style="2" customWidth="1"/>
    <col min="11" max="11" width="14" style="2" customWidth="1"/>
    <col min="12" max="12" width="18" style="2" customWidth="1"/>
    <col min="13" max="13" width="30" style="2" customWidth="1"/>
    <col min="14" max="14" width="26" style="2" customWidth="1"/>
    <col min="15" max="15" width="16" style="2" customWidth="1"/>
    <col min="16" max="17" width="13" style="2" hidden="1" customWidth="1"/>
    <col min="18" max="18" width="18" style="2" customWidth="1"/>
    <col min="19" max="19" width="22" style="2" customWidth="1"/>
    <col min="20" max="20" width="70" style="2" customWidth="1"/>
    <col min="21" max="21" width="16" style="2" customWidth="1"/>
    <col min="22" max="22" width="18" style="2" customWidth="1"/>
    <col min="23" max="23" width="22" style="2" customWidth="1"/>
    <col min="24" max="24" width="70" style="2" customWidth="1"/>
    <col min="25" max="25" width="18.7109375" style="2" bestFit="1" customWidth="1"/>
    <col min="26" max="26" width="21.5703125" style="2" bestFit="1" customWidth="1"/>
    <col min="27" max="27" width="14.42578125" style="2" bestFit="1" customWidth="1"/>
    <col min="28" max="28" width="20.5703125" style="2" bestFit="1" customWidth="1"/>
    <col min="29" max="29" width="18.7109375" style="2" bestFit="1" customWidth="1"/>
    <col min="30" max="30" width="21.5703125" style="2" bestFit="1" customWidth="1"/>
    <col min="31" max="31" width="13" style="2" bestFit="1" customWidth="1"/>
    <col min="32" max="32" width="20.5703125" style="2" bestFit="1" customWidth="1"/>
    <col min="33" max="33" width="18.7109375" style="2" bestFit="1" customWidth="1"/>
    <col min="104" max="111" width="13" style="2" hidden="1" customWidth="1"/>
  </cols>
  <sheetData>
    <row r="1" spans="1:111" ht="24" customHeight="1">
      <c r="A1" s="5" t="s">
        <v>0</v>
      </c>
      <c r="B1" s="5" t="s">
        <v>1</v>
      </c>
      <c r="C1" s="5" t="s">
        <v>2</v>
      </c>
      <c r="D1" s="5" t="s">
        <v>3</v>
      </c>
      <c r="E1" s="5" t="s">
        <v>4</v>
      </c>
      <c r="F1" s="5" t="s">
        <v>5</v>
      </c>
      <c r="G1" s="5" t="s">
        <v>6</v>
      </c>
      <c r="H1" s="5" t="s">
        <v>7</v>
      </c>
      <c r="I1" s="5" t="s">
        <v>8</v>
      </c>
      <c r="J1" s="5" t="s">
        <v>9</v>
      </c>
      <c r="K1" s="5" t="s">
        <v>10</v>
      </c>
      <c r="L1" s="5" t="s">
        <v>11</v>
      </c>
      <c r="M1" s="5" t="s">
        <v>12</v>
      </c>
      <c r="N1" s="5" t="s">
        <v>13</v>
      </c>
      <c r="O1" s="5" t="s">
        <v>14</v>
      </c>
      <c r="R1" s="5" t="s">
        <v>15</v>
      </c>
      <c r="S1" s="5" t="s">
        <v>16</v>
      </c>
      <c r="T1" s="5" t="s">
        <v>17</v>
      </c>
      <c r="U1" s="5" t="s">
        <v>18</v>
      </c>
      <c r="V1" s="5" t="s">
        <v>19</v>
      </c>
      <c r="W1" s="5" t="s">
        <v>20</v>
      </c>
      <c r="X1" s="5" t="s">
        <v>21</v>
      </c>
      <c r="Y1" s="5" t="s">
        <v>22</v>
      </c>
      <c r="Z1" s="5" t="s">
        <v>23</v>
      </c>
      <c r="AA1" s="5" t="s">
        <v>24</v>
      </c>
      <c r="AB1" s="5" t="s">
        <v>25</v>
      </c>
      <c r="AC1" s="5" t="s">
        <v>26</v>
      </c>
      <c r="AD1" s="5" t="s">
        <v>27</v>
      </c>
      <c r="AE1" s="5" t="s">
        <v>28</v>
      </c>
      <c r="AF1" s="5" t="s">
        <v>29</v>
      </c>
      <c r="AG1" s="5" t="s">
        <v>30</v>
      </c>
    </row>
    <row r="2" spans="1:111" ht="63">
      <c r="A2" s="1">
        <v>1</v>
      </c>
      <c r="B2" s="1" t="s">
        <v>31</v>
      </c>
      <c r="C2" s="1" t="s">
        <v>32</v>
      </c>
      <c r="D2" s="1" t="s">
        <v>33</v>
      </c>
      <c r="E2" s="6"/>
      <c r="F2" s="6"/>
      <c r="G2" s="6" t="s">
        <v>34</v>
      </c>
      <c r="H2" s="6" t="s">
        <v>398</v>
      </c>
      <c r="I2" s="4" t="str">
        <f>SUBSTITUTE(SUBSTITUTE(SUBSTITUTE(SUBSTITUTE(SUBSTITUTE(SUBSTITUTE(SUBSTITUTE(SUBSTITUTE(SUBSTITUTE(SUBSTITUTE(SUBSTITUTE(Q2,"{会社}",設定!$B$3),"{自分}",設定!$B$4),"{サービス}",設定!$B$5),"{料金}",設定!$B$7),"{日付1}",設定!$B$8),"{日付2}",設定!$B$9),"{時間1}",設定!$B$10),"{時間2}",設定!$B$11),"{時間}","（指定時間）"),"{日付確定}","（確定日）"),"{時間確定}","（確定時間）")</f>
        <v>（担当者様へ）お世話になっております。株式会社NanoActのキンタマと申します。宿泊者さま向けに「特定小型原付のシェアリング」を施設に設置するご相談でお電話しました。今1〜2分だけお時間よろしいでしょうか？</v>
      </c>
      <c r="J2" s="1" t="str">
        <f>IFERROR(VLOOKUP(P2,スクリプト_フロー!$A:$F,4,FALSE),"")</f>
        <v>⑥目的伝達</v>
      </c>
      <c r="K2" s="6" t="s">
        <v>35</v>
      </c>
      <c r="L2" s="6"/>
      <c r="M2" s="6"/>
      <c r="N2" s="6"/>
      <c r="O2" s="1"/>
      <c r="P2" s="1" t="str">
        <f t="shared" ref="P2:P33" si="0">G2&amp;"|"&amp;H2</f>
        <v>①架電|担当者に直接繋がった</v>
      </c>
      <c r="Q2" s="1" t="str">
        <f>IFERROR(VLOOKUP(P2,スクリプト_フロー!$A:$F,5,FALSE),"")</f>
        <v>（担当者様へ）お世話になっております。{会社}の{自分}と申します。宿泊者さま向けに「{サービス}」を施設に設置するご相談でお電話しました。今1〜2分だけお時間よろしいでしょうか？</v>
      </c>
      <c r="R2" s="6"/>
      <c r="S2" s="6"/>
      <c r="T2" s="4" t="str">
        <f>IF(DA2="","",SUBSTITUTE(SUBSTITUTE(SUBSTITUTE(SUBSTITUTE(SUBSTITUTE(SUBSTITUTE(SUBSTITUTE(SUBSTITUTE(SUBSTITUTE(SUBSTITUTE(SUBSTITUTE(DA2,"{会社}",設定!$B$3),"{自分}",設定!$B$4),"{サービス}",設定!$B$5),"{料金}",設定!$B$7),"{日付1}",設定!$B$8),"{日付2}",設定!$B$9),"{時間1}",設定!$B$10),"{時間2}",設定!$B$11),"{時間}","（指定時間）"),"{日付確定}","（確定日）"),"{時間確定}","（確定時間）"))</f>
        <v/>
      </c>
      <c r="U2" s="1" t="str">
        <f>IFERROR(VLOOKUP(CZ2,スクリプト_フロー!$A:$F,4,FALSE),"")</f>
        <v/>
      </c>
      <c r="V2" s="6" t="str">
        <f t="shared" ref="V2:V33" si="1">IF(U2="","",U2)</f>
        <v/>
      </c>
      <c r="W2" s="6"/>
      <c r="X2" s="4" t="str">
        <f>IF(DC2="","",SUBSTITUTE(SUBSTITUTE(SUBSTITUTE(SUBSTITUTE(SUBSTITUTE(SUBSTITUTE(SUBSTITUTE(SUBSTITUTE(SUBSTITUTE(SUBSTITUTE(SUBSTITUTE(DC2,"{会社}",設定!$B$3),"{自分}",設定!$B$4),"{サービス}",設定!$B$5),"{料金}",設定!$B$7),"{日付1}",設定!$B$8),"{日付2}",設定!$B$9),"{時間1}",設定!$B$10),"{時間2}",設定!$B$11),"{時間}","（指定時間）"),"{日付確定}","（確定日）"),"{時間確定}","（確定時間）"))</f>
        <v/>
      </c>
      <c r="Y2" s="1" t="str">
        <f>IFERROR(VLOOKUP(DB2,スクリプト_フロー!$A:$F,4,FALSE),"")</f>
        <v/>
      </c>
      <c r="Z2" s="6" t="str">
        <f t="shared" ref="Z2:Z33" si="2">IF(Y2="","",Y2)</f>
        <v/>
      </c>
      <c r="AA2" s="11" t="s">
        <v>34</v>
      </c>
      <c r="AB2" s="4" t="str">
        <f>IF(DE2="","",SUBSTITUTE(SUBSTITUTE(SUBSTITUTE(SUBSTITUTE(SUBSTITUTE(SUBSTITUTE(SUBSTITUTE(SUBSTITUTE(SUBSTITUTE(SUBSTITUTE(SUBSTITUTE(DE2,"{会社}",設定!$B$3),"{自分}",設定!$B$4),"{サービス}",設定!$B$5),"{料金}",設定!$B$7),"{日付1}",設定!$B$8),"{日付2}",設定!$B$9),"{時間1}",設定!$B$10),"{時間2}",設定!$B$11),"{時間}","（指定時間）"),"{日付確定}","（確定日）"),"{時間確定}","（確定時間）"))</f>
        <v/>
      </c>
      <c r="AC2" s="1" t="str">
        <f>IFERROR(VLOOKUP(DD2,スクリプト_フロー!$A:$F,4,FALSE),"")</f>
        <v/>
      </c>
      <c r="AD2" s="11" t="str">
        <f t="shared" ref="AD2:AD33" si="3">IF(AC2="","",AC2)</f>
        <v/>
      </c>
      <c r="AE2" s="11" t="s">
        <v>36</v>
      </c>
      <c r="AF2" s="4" t="str">
        <f>IF(DG2="","",SUBSTITUTE(SUBSTITUTE(SUBSTITUTE(SUBSTITUTE(SUBSTITUTE(SUBSTITUTE(SUBSTITUTE(SUBSTITUTE(SUBSTITUTE(SUBSTITUTE(SUBSTITUTE(DG2,"{会社}",設定!$B$3),"{自分}",設定!$B$4),"{サービス}",設定!$B$5),"{料金}",設定!$B$7),"{日付1}",設定!$B$8),"{日付2}",設定!$B$9),"{時間1}",設定!$B$10),"{時間2}",設定!$B$11),"{時間}","（指定時間）"),"{日付確定}","（確定日）"),"{時間確定}","（確定時間）"))</f>
        <v/>
      </c>
      <c r="AG2" s="1" t="str">
        <f>IFERROR(VLOOKUP(DF2,スクリプト_フロー!$A:$F,4,FALSE),"")</f>
        <v/>
      </c>
      <c r="CZ2" s="1" t="str">
        <f t="shared" ref="CZ2:CZ33" si="4">R2&amp;"|"&amp;S2</f>
        <v>|</v>
      </c>
      <c r="DA2" s="1" t="str">
        <f>IFERROR(VLOOKUP(CZ2,スクリプト_フロー!$A:$F,5,FALSE),"")</f>
        <v/>
      </c>
      <c r="DB2" s="1" t="str">
        <f t="shared" ref="DB2:DB33" si="5">V2&amp;"|"&amp;W2</f>
        <v>|</v>
      </c>
      <c r="DC2" s="1" t="str">
        <f>IFERROR(VLOOKUP(DB2,スクリプト_フロー!$A:$F,5,FALSE),"")</f>
        <v/>
      </c>
      <c r="DD2" s="1" t="str">
        <f t="shared" ref="DD2:DD33" si="6">Z2&amp;"|"&amp;AA2</f>
        <v>|①架電</v>
      </c>
      <c r="DE2" s="1" t="str">
        <f>IFERROR(VLOOKUP(DD2,スクリプト_フロー!$A:$F,5,FALSE),"")</f>
        <v/>
      </c>
      <c r="DF2" s="1" t="str">
        <f t="shared" ref="DF2:DF33" si="7">AD2&amp;"|"&amp;AE2</f>
        <v>|RESPX_001</v>
      </c>
      <c r="DG2" s="1" t="str">
        <f>IFERROR(VLOOKUP(DF2,スクリプト_フロー!$A:$F,5,FALSE),"")</f>
        <v/>
      </c>
    </row>
    <row r="3" spans="1:111" ht="21">
      <c r="A3" s="1">
        <v>2</v>
      </c>
      <c r="B3" s="1" t="s">
        <v>37</v>
      </c>
      <c r="C3" s="1" t="s">
        <v>38</v>
      </c>
      <c r="D3" s="1" t="s">
        <v>39</v>
      </c>
      <c r="E3" s="6"/>
      <c r="F3" s="6"/>
      <c r="G3" s="6" t="s">
        <v>34</v>
      </c>
      <c r="H3" s="6"/>
      <c r="I3" s="4" t="str">
        <f>SUBSTITUTE(SUBSTITUTE(SUBSTITUTE(SUBSTITUTE(SUBSTITUTE(SUBSTITUTE(SUBSTITUTE(SUBSTITUTE(SUBSTITUTE(SUBSTITUTE(SUBSTITUTE(Q3,"{会社}",設定!$B$3),"{自分}",設定!$B$4),"{サービス}",設定!$B$5),"{料金}",設定!$B$7),"{日付1}",設定!$B$8),"{日付2}",設定!$B$9),"{時間1}",設定!$B$10),"{時間2}",設定!$B$11),"{時間}","（指定時間）"),"{日付確定}","（確定日）"),"{時間確定}","（確定時間）")</f>
        <v/>
      </c>
      <c r="J3" s="1" t="str">
        <f>IFERROR(VLOOKUP(P3,スクリプト_フロー!$A:$F,4,FALSE),"")</f>
        <v/>
      </c>
      <c r="K3" s="6" t="s">
        <v>35</v>
      </c>
      <c r="L3" s="6"/>
      <c r="M3" s="6"/>
      <c r="N3" s="6"/>
      <c r="O3" s="1"/>
      <c r="P3" s="1" t="str">
        <f t="shared" si="0"/>
        <v>①架電|</v>
      </c>
      <c r="Q3" s="1" t="str">
        <f>IFERROR(VLOOKUP(P3,スクリプト_フロー!$A:$F,5,FALSE),"")</f>
        <v/>
      </c>
      <c r="R3" s="6" t="str">
        <f t="shared" ref="R3:R33" si="8">IF(J3="","",J3)</f>
        <v/>
      </c>
      <c r="S3" s="6"/>
      <c r="T3" s="4" t="str">
        <f>IF(DA3="","",SUBSTITUTE(SUBSTITUTE(SUBSTITUTE(SUBSTITUTE(SUBSTITUTE(SUBSTITUTE(SUBSTITUTE(SUBSTITUTE(SUBSTITUTE(SUBSTITUTE(SUBSTITUTE(DA3,"{会社}",設定!$B$3),"{自分}",設定!$B$4),"{サービス}",設定!$B$5),"{料金}",設定!$B$7),"{日付1}",設定!$B$8),"{日付2}",設定!$B$9),"{時間1}",設定!$B$10),"{時間2}",設定!$B$11),"{時間}","（指定時間）"),"{日付確定}","（確定日）"),"{時間確定}","（確定時間）"))</f>
        <v/>
      </c>
      <c r="U3" s="1" t="str">
        <f>IFERROR(VLOOKUP(CZ3,スクリプト_フロー!$A:$F,4,FALSE),"")</f>
        <v/>
      </c>
      <c r="V3" s="6" t="str">
        <f t="shared" si="1"/>
        <v/>
      </c>
      <c r="W3" s="6"/>
      <c r="X3" s="4" t="str">
        <f>IF(DC3="","",SUBSTITUTE(SUBSTITUTE(SUBSTITUTE(SUBSTITUTE(SUBSTITUTE(SUBSTITUTE(SUBSTITUTE(SUBSTITUTE(SUBSTITUTE(SUBSTITUTE(SUBSTITUTE(DC3,"{会社}",設定!$B$3),"{自分}",設定!$B$4),"{サービス}",設定!$B$5),"{料金}",設定!$B$7),"{日付1}",設定!$B$8),"{日付2}",設定!$B$9),"{時間1}",設定!$B$10),"{時間2}",設定!$B$11),"{時間}","（指定時間）"),"{日付確定}","（確定日）"),"{時間確定}","（確定時間）"))</f>
        <v/>
      </c>
      <c r="Y3" s="1" t="str">
        <f>IFERROR(VLOOKUP(DB3,スクリプト_フロー!$A:$F,4,FALSE),"")</f>
        <v/>
      </c>
      <c r="Z3" s="6" t="str">
        <f t="shared" si="2"/>
        <v/>
      </c>
      <c r="AA3" s="11" t="s">
        <v>40</v>
      </c>
      <c r="AB3" s="4" t="str">
        <f>IF(DE3="","",SUBSTITUTE(SUBSTITUTE(SUBSTITUTE(SUBSTITUTE(SUBSTITUTE(SUBSTITUTE(SUBSTITUTE(SUBSTITUTE(SUBSTITUTE(SUBSTITUTE(SUBSTITUTE(DE3,"{会社}",設定!$B$3),"{自分}",設定!$B$4),"{サービス}",設定!$B$5),"{料金}",設定!$B$7),"{日付1}",設定!$B$8),"{日付2}",設定!$B$9),"{時間1}",設定!$B$10),"{時間2}",設定!$B$11),"{時間}","（指定時間）"),"{日付確定}","（確定日）"),"{時間確定}","（確定時間）"))</f>
        <v/>
      </c>
      <c r="AC3" s="1" t="str">
        <f>IFERROR(VLOOKUP(DD3,スクリプト_フロー!$A:$F,4,FALSE),"")</f>
        <v/>
      </c>
      <c r="AD3" s="11" t="str">
        <f t="shared" si="3"/>
        <v/>
      </c>
      <c r="AE3" s="11" t="s">
        <v>41</v>
      </c>
      <c r="AF3" s="4" t="str">
        <f>IF(DG3="","",SUBSTITUTE(SUBSTITUTE(SUBSTITUTE(SUBSTITUTE(SUBSTITUTE(SUBSTITUTE(SUBSTITUTE(SUBSTITUTE(SUBSTITUTE(SUBSTITUTE(SUBSTITUTE(DG3,"{会社}",設定!$B$3),"{自分}",設定!$B$4),"{サービス}",設定!$B$5),"{料金}",設定!$B$7),"{日付1}",設定!$B$8),"{日付2}",設定!$B$9),"{時間1}",設定!$B$10),"{時間2}",設定!$B$11),"{時間}","（指定時間）"),"{日付確定}","（確定日）"),"{時間確定}","（確定時間）"))</f>
        <v/>
      </c>
      <c r="AG3" s="1" t="str">
        <f>IFERROR(VLOOKUP(DF3,スクリプト_フロー!$A:$F,4,FALSE),"")</f>
        <v/>
      </c>
      <c r="CZ3" s="1" t="str">
        <f t="shared" si="4"/>
        <v>|</v>
      </c>
      <c r="DA3" s="1" t="str">
        <f>IFERROR(VLOOKUP(CZ3,スクリプト_フロー!$A:$F,5,FALSE),"")</f>
        <v/>
      </c>
      <c r="DB3" s="1" t="str">
        <f t="shared" si="5"/>
        <v>|</v>
      </c>
      <c r="DC3" s="1" t="str">
        <f>IFERROR(VLOOKUP(DB3,スクリプト_フロー!$A:$F,5,FALSE),"")</f>
        <v/>
      </c>
      <c r="DD3" s="1" t="str">
        <f t="shared" si="6"/>
        <v>|①-2自動音声</v>
      </c>
      <c r="DE3" s="1" t="str">
        <f>IFERROR(VLOOKUP(DD3,スクリプト_フロー!$A:$F,5,FALSE),"")</f>
        <v/>
      </c>
      <c r="DF3" s="1" t="str">
        <f t="shared" si="7"/>
        <v>|RESPX_002</v>
      </c>
      <c r="DG3" s="1" t="str">
        <f>IFERROR(VLOOKUP(DF3,スクリプト_フロー!$A:$F,5,FALSE),"")</f>
        <v/>
      </c>
    </row>
    <row r="4" spans="1:111" ht="21">
      <c r="A4" s="1">
        <v>3</v>
      </c>
      <c r="B4" s="1" t="s">
        <v>42</v>
      </c>
      <c r="C4" s="1" t="s">
        <v>43</v>
      </c>
      <c r="D4" s="1" t="s">
        <v>44</v>
      </c>
      <c r="E4" s="6"/>
      <c r="F4" s="6"/>
      <c r="G4" s="6" t="s">
        <v>34</v>
      </c>
      <c r="H4" s="6"/>
      <c r="I4" s="4" t="str">
        <f>SUBSTITUTE(SUBSTITUTE(SUBSTITUTE(SUBSTITUTE(SUBSTITUTE(SUBSTITUTE(SUBSTITUTE(SUBSTITUTE(SUBSTITUTE(SUBSTITUTE(SUBSTITUTE(Q4,"{会社}",設定!$B$3),"{自分}",設定!$B$4),"{サービス}",設定!$B$5),"{料金}",設定!$B$7),"{日付1}",設定!$B$8),"{日付2}",設定!$B$9),"{時間1}",設定!$B$10),"{時間2}",設定!$B$11),"{時間}","（指定時間）"),"{日付確定}","（確定日）"),"{時間確定}","（確定時間）")</f>
        <v/>
      </c>
      <c r="J4" s="1" t="str">
        <f>IFERROR(VLOOKUP(P4,スクリプト_フロー!$A:$F,4,FALSE),"")</f>
        <v/>
      </c>
      <c r="K4" s="6" t="s">
        <v>35</v>
      </c>
      <c r="L4" s="6"/>
      <c r="M4" s="6"/>
      <c r="N4" s="6"/>
      <c r="O4" s="1"/>
      <c r="P4" s="1" t="str">
        <f t="shared" si="0"/>
        <v>①架電|</v>
      </c>
      <c r="Q4" s="1" t="str">
        <f>IFERROR(VLOOKUP(P4,スクリプト_フロー!$A:$F,5,FALSE),"")</f>
        <v/>
      </c>
      <c r="R4" s="6" t="str">
        <f t="shared" si="8"/>
        <v/>
      </c>
      <c r="S4" s="6"/>
      <c r="T4" s="4" t="str">
        <f>IF(DA4="","",SUBSTITUTE(SUBSTITUTE(SUBSTITUTE(SUBSTITUTE(SUBSTITUTE(SUBSTITUTE(SUBSTITUTE(SUBSTITUTE(SUBSTITUTE(SUBSTITUTE(SUBSTITUTE(DA4,"{会社}",設定!$B$3),"{自分}",設定!$B$4),"{サービス}",設定!$B$5),"{料金}",設定!$B$7),"{日付1}",設定!$B$8),"{日付2}",設定!$B$9),"{時間1}",設定!$B$10),"{時間2}",設定!$B$11),"{時間}","（指定時間）"),"{日付確定}","（確定日）"),"{時間確定}","（確定時間）"))</f>
        <v/>
      </c>
      <c r="U4" s="1" t="str">
        <f>IFERROR(VLOOKUP(CZ4,スクリプト_フロー!$A:$F,4,FALSE),"")</f>
        <v/>
      </c>
      <c r="V4" s="6" t="str">
        <f t="shared" si="1"/>
        <v/>
      </c>
      <c r="W4" s="6"/>
      <c r="X4" s="4" t="str">
        <f>IF(DC4="","",SUBSTITUTE(SUBSTITUTE(SUBSTITUTE(SUBSTITUTE(SUBSTITUTE(SUBSTITUTE(SUBSTITUTE(SUBSTITUTE(SUBSTITUTE(SUBSTITUTE(SUBSTITUTE(DC4,"{会社}",設定!$B$3),"{自分}",設定!$B$4),"{サービス}",設定!$B$5),"{料金}",設定!$B$7),"{日付1}",設定!$B$8),"{日付2}",設定!$B$9),"{時間1}",設定!$B$10),"{時間2}",設定!$B$11),"{時間}","（指定時間）"),"{日付確定}","（確定日）"),"{時間確定}","（確定時間）"))</f>
        <v/>
      </c>
      <c r="Y4" s="1" t="str">
        <f>IFERROR(VLOOKUP(DB4,スクリプト_フロー!$A:$F,4,FALSE),"")</f>
        <v/>
      </c>
      <c r="Z4" s="6" t="str">
        <f t="shared" si="2"/>
        <v/>
      </c>
      <c r="AA4" s="11" t="s">
        <v>45</v>
      </c>
      <c r="AB4" s="4" t="str">
        <f>IF(DE4="","",SUBSTITUTE(SUBSTITUTE(SUBSTITUTE(SUBSTITUTE(SUBSTITUTE(SUBSTITUTE(SUBSTITUTE(SUBSTITUTE(SUBSTITUTE(SUBSTITUTE(SUBSTITUTE(DE4,"{会社}",設定!$B$3),"{自分}",設定!$B$4),"{サービス}",設定!$B$5),"{料金}",設定!$B$7),"{日付1}",設定!$B$8),"{日付2}",設定!$B$9),"{時間1}",設定!$B$10),"{時間2}",設定!$B$11),"{時間}","（指定時間）"),"{日付確定}","（確定日）"),"{時間確定}","（確定時間）"))</f>
        <v/>
      </c>
      <c r="AC4" s="1" t="str">
        <f>IFERROR(VLOOKUP(DD4,スクリプト_フロー!$A:$F,4,FALSE),"")</f>
        <v/>
      </c>
      <c r="AD4" s="11" t="str">
        <f t="shared" si="3"/>
        <v/>
      </c>
      <c r="AE4" s="11" t="s">
        <v>46</v>
      </c>
      <c r="AF4" s="4" t="str">
        <f>IF(DG4="","",SUBSTITUTE(SUBSTITUTE(SUBSTITUTE(SUBSTITUTE(SUBSTITUTE(SUBSTITUTE(SUBSTITUTE(SUBSTITUTE(SUBSTITUTE(SUBSTITUTE(SUBSTITUTE(DG4,"{会社}",設定!$B$3),"{自分}",設定!$B$4),"{サービス}",設定!$B$5),"{料金}",設定!$B$7),"{日付1}",設定!$B$8),"{日付2}",設定!$B$9),"{時間1}",設定!$B$10),"{時間2}",設定!$B$11),"{時間}","（指定時間）"),"{日付確定}","（確定日）"),"{時間確定}","（確定時間）"))</f>
        <v/>
      </c>
      <c r="AG4" s="1" t="str">
        <f>IFERROR(VLOOKUP(DF4,スクリプト_フロー!$A:$F,4,FALSE),"")</f>
        <v/>
      </c>
      <c r="CZ4" s="1" t="str">
        <f t="shared" si="4"/>
        <v>|</v>
      </c>
      <c r="DA4" s="1" t="str">
        <f>IFERROR(VLOOKUP(CZ4,スクリプト_フロー!$A:$F,5,FALSE),"")</f>
        <v/>
      </c>
      <c r="DB4" s="1" t="str">
        <f t="shared" si="5"/>
        <v>|</v>
      </c>
      <c r="DC4" s="1" t="str">
        <f>IFERROR(VLOOKUP(DB4,スクリプト_フロー!$A:$F,5,FALSE),"")</f>
        <v/>
      </c>
      <c r="DD4" s="1" t="str">
        <f t="shared" si="6"/>
        <v>|②受付</v>
      </c>
      <c r="DE4" s="1" t="str">
        <f>IFERROR(VLOOKUP(DD4,スクリプト_フロー!$A:$F,5,FALSE),"")</f>
        <v/>
      </c>
      <c r="DF4" s="1" t="str">
        <f t="shared" si="7"/>
        <v>|RESPX_003</v>
      </c>
      <c r="DG4" s="1" t="str">
        <f>IFERROR(VLOOKUP(DF4,スクリプト_フロー!$A:$F,5,FALSE),"")</f>
        <v/>
      </c>
    </row>
    <row r="5" spans="1:111" ht="21">
      <c r="A5" s="1">
        <v>4</v>
      </c>
      <c r="B5" s="1" t="s">
        <v>47</v>
      </c>
      <c r="C5" s="1" t="s">
        <v>48</v>
      </c>
      <c r="D5" s="1" t="s">
        <v>39</v>
      </c>
      <c r="E5" s="6"/>
      <c r="F5" s="6"/>
      <c r="G5" s="6" t="s">
        <v>34</v>
      </c>
      <c r="H5" s="6"/>
      <c r="I5" s="4" t="str">
        <f>SUBSTITUTE(SUBSTITUTE(SUBSTITUTE(SUBSTITUTE(SUBSTITUTE(SUBSTITUTE(SUBSTITUTE(SUBSTITUTE(SUBSTITUTE(SUBSTITUTE(SUBSTITUTE(Q5,"{会社}",設定!$B$3),"{自分}",設定!$B$4),"{サービス}",設定!$B$5),"{料金}",設定!$B$7),"{日付1}",設定!$B$8),"{日付2}",設定!$B$9),"{時間1}",設定!$B$10),"{時間2}",設定!$B$11),"{時間}","（指定時間）"),"{日付確定}","（確定日）"),"{時間確定}","（確定時間）")</f>
        <v/>
      </c>
      <c r="J5" s="1" t="str">
        <f>IFERROR(VLOOKUP(P5,スクリプト_フロー!$A:$F,4,FALSE),"")</f>
        <v/>
      </c>
      <c r="K5" s="6" t="s">
        <v>35</v>
      </c>
      <c r="L5" s="6"/>
      <c r="M5" s="6"/>
      <c r="N5" s="6"/>
      <c r="O5" s="1"/>
      <c r="P5" s="1" t="str">
        <f t="shared" si="0"/>
        <v>①架電|</v>
      </c>
      <c r="Q5" s="1" t="str">
        <f>IFERROR(VLOOKUP(P5,スクリプト_フロー!$A:$F,5,FALSE),"")</f>
        <v/>
      </c>
      <c r="R5" s="6" t="str">
        <f t="shared" si="8"/>
        <v/>
      </c>
      <c r="S5" s="6"/>
      <c r="T5" s="4" t="str">
        <f>IF(DA5="","",SUBSTITUTE(SUBSTITUTE(SUBSTITUTE(SUBSTITUTE(SUBSTITUTE(SUBSTITUTE(SUBSTITUTE(SUBSTITUTE(SUBSTITUTE(SUBSTITUTE(SUBSTITUTE(DA5,"{会社}",設定!$B$3),"{自分}",設定!$B$4),"{サービス}",設定!$B$5),"{料金}",設定!$B$7),"{日付1}",設定!$B$8),"{日付2}",設定!$B$9),"{時間1}",設定!$B$10),"{時間2}",設定!$B$11),"{時間}","（指定時間）"),"{日付確定}","（確定日）"),"{時間確定}","（確定時間）"))</f>
        <v/>
      </c>
      <c r="U5" s="1" t="str">
        <f>IFERROR(VLOOKUP(CZ5,スクリプト_フロー!$A:$F,4,FALSE),"")</f>
        <v/>
      </c>
      <c r="V5" s="6" t="str">
        <f t="shared" si="1"/>
        <v/>
      </c>
      <c r="W5" s="6"/>
      <c r="X5" s="4" t="str">
        <f>IF(DC5="","",SUBSTITUTE(SUBSTITUTE(SUBSTITUTE(SUBSTITUTE(SUBSTITUTE(SUBSTITUTE(SUBSTITUTE(SUBSTITUTE(SUBSTITUTE(SUBSTITUTE(SUBSTITUTE(DC5,"{会社}",設定!$B$3),"{自分}",設定!$B$4),"{サービス}",設定!$B$5),"{料金}",設定!$B$7),"{日付1}",設定!$B$8),"{日付2}",設定!$B$9),"{時間1}",設定!$B$10),"{時間2}",設定!$B$11),"{時間}","（指定時間）"),"{日付確定}","（確定日）"),"{時間確定}","（確定時間）"))</f>
        <v/>
      </c>
      <c r="Y5" s="1" t="str">
        <f>IFERROR(VLOOKUP(DB5,スクリプト_フロー!$A:$F,4,FALSE),"")</f>
        <v/>
      </c>
      <c r="Z5" s="6" t="str">
        <f t="shared" si="2"/>
        <v/>
      </c>
      <c r="AA5" s="11" t="s">
        <v>49</v>
      </c>
      <c r="AB5" s="4" t="str">
        <f>IF(DE5="","",SUBSTITUTE(SUBSTITUTE(SUBSTITUTE(SUBSTITUTE(SUBSTITUTE(SUBSTITUTE(SUBSTITUTE(SUBSTITUTE(SUBSTITUTE(SUBSTITUTE(SUBSTITUTE(DE5,"{会社}",設定!$B$3),"{自分}",設定!$B$4),"{サービス}",設定!$B$5),"{料金}",設定!$B$7),"{日付1}",設定!$B$8),"{日付2}",設定!$B$9),"{時間1}",設定!$B$10),"{時間2}",設定!$B$11),"{時間}","（指定時間）"),"{日付確定}","（確定日）"),"{時間確定}","（確定時間）"))</f>
        <v/>
      </c>
      <c r="AC5" s="1" t="str">
        <f>IFERROR(VLOOKUP(DD5,スクリプト_フロー!$A:$F,4,FALSE),"")</f>
        <v/>
      </c>
      <c r="AD5" s="11" t="str">
        <f t="shared" si="3"/>
        <v/>
      </c>
      <c r="AE5" s="11" t="s">
        <v>50</v>
      </c>
      <c r="AF5" s="4" t="str">
        <f>IF(DG5="","",SUBSTITUTE(SUBSTITUTE(SUBSTITUTE(SUBSTITUTE(SUBSTITUTE(SUBSTITUTE(SUBSTITUTE(SUBSTITUTE(SUBSTITUTE(SUBSTITUTE(SUBSTITUTE(DG5,"{会社}",設定!$B$3),"{自分}",設定!$B$4),"{サービス}",設定!$B$5),"{料金}",設定!$B$7),"{日付1}",設定!$B$8),"{日付2}",設定!$B$9),"{時間1}",設定!$B$10),"{時間2}",設定!$B$11),"{時間}","（指定時間）"),"{日付確定}","（確定日）"),"{時間確定}","（確定時間）"))</f>
        <v/>
      </c>
      <c r="AG5" s="1" t="str">
        <f>IFERROR(VLOOKUP(DF5,スクリプト_フロー!$A:$F,4,FALSE),"")</f>
        <v/>
      </c>
      <c r="CZ5" s="1" t="str">
        <f t="shared" si="4"/>
        <v>|</v>
      </c>
      <c r="DA5" s="1" t="str">
        <f>IFERROR(VLOOKUP(CZ5,スクリプト_フロー!$A:$F,5,FALSE),"")</f>
        <v/>
      </c>
      <c r="DB5" s="1" t="str">
        <f t="shared" si="5"/>
        <v>|</v>
      </c>
      <c r="DC5" s="1" t="str">
        <f>IFERROR(VLOOKUP(DB5,スクリプト_フロー!$A:$F,5,FALSE),"")</f>
        <v/>
      </c>
      <c r="DD5" s="1" t="str">
        <f t="shared" si="6"/>
        <v>|③受付用件</v>
      </c>
      <c r="DE5" s="1" t="str">
        <f>IFERROR(VLOOKUP(DD5,スクリプト_フロー!$A:$F,5,FALSE),"")</f>
        <v/>
      </c>
      <c r="DF5" s="1" t="str">
        <f t="shared" si="7"/>
        <v>|RESPX_004</v>
      </c>
      <c r="DG5" s="1" t="str">
        <f>IFERROR(VLOOKUP(DF5,スクリプト_フロー!$A:$F,5,FALSE),"")</f>
        <v/>
      </c>
    </row>
    <row r="6" spans="1:111" ht="21">
      <c r="A6" s="1">
        <v>5</v>
      </c>
      <c r="B6" s="1" t="s">
        <v>51</v>
      </c>
      <c r="C6" s="1" t="s">
        <v>52</v>
      </c>
      <c r="D6" s="1" t="s">
        <v>53</v>
      </c>
      <c r="E6" s="6"/>
      <c r="F6" s="6"/>
      <c r="G6" s="6" t="s">
        <v>34</v>
      </c>
      <c r="H6" s="6"/>
      <c r="I6" s="4" t="str">
        <f>SUBSTITUTE(SUBSTITUTE(SUBSTITUTE(SUBSTITUTE(SUBSTITUTE(SUBSTITUTE(SUBSTITUTE(SUBSTITUTE(SUBSTITUTE(SUBSTITUTE(SUBSTITUTE(Q6,"{会社}",設定!$B$3),"{自分}",設定!$B$4),"{サービス}",設定!$B$5),"{料金}",設定!$B$7),"{日付1}",設定!$B$8),"{日付2}",設定!$B$9),"{時間1}",設定!$B$10),"{時間2}",設定!$B$11),"{時間}","（指定時間）"),"{日付確定}","（確定日）"),"{時間確定}","（確定時間）")</f>
        <v/>
      </c>
      <c r="J6" s="1" t="str">
        <f>IFERROR(VLOOKUP(P6,スクリプト_フロー!$A:$F,4,FALSE),"")</f>
        <v/>
      </c>
      <c r="K6" s="6" t="s">
        <v>35</v>
      </c>
      <c r="L6" s="6"/>
      <c r="M6" s="6"/>
      <c r="N6" s="6"/>
      <c r="O6" s="1"/>
      <c r="P6" s="1" t="str">
        <f t="shared" si="0"/>
        <v>①架電|</v>
      </c>
      <c r="Q6" s="1" t="str">
        <f>IFERROR(VLOOKUP(P6,スクリプト_フロー!$A:$F,5,FALSE),"")</f>
        <v/>
      </c>
      <c r="R6" s="6" t="str">
        <f t="shared" si="8"/>
        <v/>
      </c>
      <c r="S6" s="6"/>
      <c r="T6" s="4" t="str">
        <f>IF(DA6="","",SUBSTITUTE(SUBSTITUTE(SUBSTITUTE(SUBSTITUTE(SUBSTITUTE(SUBSTITUTE(SUBSTITUTE(SUBSTITUTE(SUBSTITUTE(SUBSTITUTE(SUBSTITUTE(DA6,"{会社}",設定!$B$3),"{自分}",設定!$B$4),"{サービス}",設定!$B$5),"{料金}",設定!$B$7),"{日付1}",設定!$B$8),"{日付2}",設定!$B$9),"{時間1}",設定!$B$10),"{時間2}",設定!$B$11),"{時間}","（指定時間）"),"{日付確定}","（確定日）"),"{時間確定}","（確定時間）"))</f>
        <v/>
      </c>
      <c r="U6" s="1" t="str">
        <f>IFERROR(VLOOKUP(CZ6,スクリプト_フロー!$A:$F,4,FALSE),"")</f>
        <v/>
      </c>
      <c r="V6" s="6" t="str">
        <f t="shared" si="1"/>
        <v/>
      </c>
      <c r="W6" s="6"/>
      <c r="X6" s="4" t="str">
        <f>IF(DC6="","",SUBSTITUTE(SUBSTITUTE(SUBSTITUTE(SUBSTITUTE(SUBSTITUTE(SUBSTITUTE(SUBSTITUTE(SUBSTITUTE(SUBSTITUTE(SUBSTITUTE(SUBSTITUTE(DC6,"{会社}",設定!$B$3),"{自分}",設定!$B$4),"{サービス}",設定!$B$5),"{料金}",設定!$B$7),"{日付1}",設定!$B$8),"{日付2}",設定!$B$9),"{時間1}",設定!$B$10),"{時間2}",設定!$B$11),"{時間}","（指定時間）"),"{日付確定}","（確定日）"),"{時間確定}","（確定時間）"))</f>
        <v/>
      </c>
      <c r="Y6" s="1" t="str">
        <f>IFERROR(VLOOKUP(DB6,スクリプト_フロー!$A:$F,4,FALSE),"")</f>
        <v/>
      </c>
      <c r="Z6" s="6" t="str">
        <f t="shared" si="2"/>
        <v/>
      </c>
      <c r="AA6" s="11" t="s">
        <v>54</v>
      </c>
      <c r="AB6" s="4" t="str">
        <f>IF(DE6="","",SUBSTITUTE(SUBSTITUTE(SUBSTITUTE(SUBSTITUTE(SUBSTITUTE(SUBSTITUTE(SUBSTITUTE(SUBSTITUTE(SUBSTITUTE(SUBSTITUTE(SUBSTITUTE(DE6,"{会社}",設定!$B$3),"{自分}",設定!$B$4),"{サービス}",設定!$B$5),"{料金}",設定!$B$7),"{日付1}",設定!$B$8),"{日付2}",設定!$B$9),"{時間1}",設定!$B$10),"{時間2}",設定!$B$11),"{時間}","（指定時間）"),"{日付確定}","（確定日）"),"{時間確定}","（確定時間）"))</f>
        <v/>
      </c>
      <c r="AC6" s="1" t="str">
        <f>IFERROR(VLOOKUP(DD6,スクリプト_フロー!$A:$F,4,FALSE),"")</f>
        <v/>
      </c>
      <c r="AD6" s="11" t="str">
        <f t="shared" si="3"/>
        <v/>
      </c>
      <c r="AE6" s="11" t="s">
        <v>55</v>
      </c>
      <c r="AF6" s="4" t="str">
        <f>IF(DG6="","",SUBSTITUTE(SUBSTITUTE(SUBSTITUTE(SUBSTITUTE(SUBSTITUTE(SUBSTITUTE(SUBSTITUTE(SUBSTITUTE(SUBSTITUTE(SUBSTITUTE(SUBSTITUTE(DG6,"{会社}",設定!$B$3),"{自分}",設定!$B$4),"{サービス}",設定!$B$5),"{料金}",設定!$B$7),"{日付1}",設定!$B$8),"{日付2}",設定!$B$9),"{時間1}",設定!$B$10),"{時間2}",設定!$B$11),"{時間}","（指定時間）"),"{日付確定}","（確定日）"),"{時間確定}","（確定時間）"))</f>
        <v/>
      </c>
      <c r="AG6" s="1" t="str">
        <f>IFERROR(VLOOKUP(DF6,スクリプト_フロー!$A:$F,4,FALSE),"")</f>
        <v/>
      </c>
      <c r="CZ6" s="1" t="str">
        <f t="shared" si="4"/>
        <v>|</v>
      </c>
      <c r="DA6" s="1" t="str">
        <f>IFERROR(VLOOKUP(CZ6,スクリプト_フロー!$A:$F,5,FALSE),"")</f>
        <v/>
      </c>
      <c r="DB6" s="1" t="str">
        <f t="shared" si="5"/>
        <v>|</v>
      </c>
      <c r="DC6" s="1" t="str">
        <f>IFERROR(VLOOKUP(DB6,スクリプト_フロー!$A:$F,5,FALSE),"")</f>
        <v/>
      </c>
      <c r="DD6" s="1" t="str">
        <f t="shared" si="6"/>
        <v>|④不在対応</v>
      </c>
      <c r="DE6" s="1" t="str">
        <f>IFERROR(VLOOKUP(DD6,スクリプト_フロー!$A:$F,5,FALSE),"")</f>
        <v/>
      </c>
      <c r="DF6" s="1" t="str">
        <f t="shared" si="7"/>
        <v>|RESPX_005</v>
      </c>
      <c r="DG6" s="1" t="str">
        <f>IFERROR(VLOOKUP(DF6,スクリプト_フロー!$A:$F,5,FALSE),"")</f>
        <v/>
      </c>
    </row>
    <row r="7" spans="1:111" ht="21">
      <c r="A7" s="1">
        <v>6</v>
      </c>
      <c r="B7" s="1" t="s">
        <v>56</v>
      </c>
      <c r="C7" s="1" t="s">
        <v>57</v>
      </c>
      <c r="D7" s="1" t="s">
        <v>39</v>
      </c>
      <c r="E7" s="6"/>
      <c r="F7" s="6"/>
      <c r="G7" s="6" t="s">
        <v>34</v>
      </c>
      <c r="H7" s="6"/>
      <c r="I7" s="4" t="str">
        <f>SUBSTITUTE(SUBSTITUTE(SUBSTITUTE(SUBSTITUTE(SUBSTITUTE(SUBSTITUTE(SUBSTITUTE(SUBSTITUTE(SUBSTITUTE(SUBSTITUTE(SUBSTITUTE(Q7,"{会社}",設定!$B$3),"{自分}",設定!$B$4),"{サービス}",設定!$B$5),"{料金}",設定!$B$7),"{日付1}",設定!$B$8),"{日付2}",設定!$B$9),"{時間1}",設定!$B$10),"{時間2}",設定!$B$11),"{時間}","（指定時間）"),"{日付確定}","（確定日）"),"{時間確定}","（確定時間）")</f>
        <v/>
      </c>
      <c r="J7" s="1" t="str">
        <f>IFERROR(VLOOKUP(P7,スクリプト_フロー!$A:$F,4,FALSE),"")</f>
        <v/>
      </c>
      <c r="K7" s="6" t="s">
        <v>35</v>
      </c>
      <c r="L7" s="6"/>
      <c r="M7" s="6"/>
      <c r="N7" s="6"/>
      <c r="O7" s="1"/>
      <c r="P7" s="1" t="str">
        <f t="shared" si="0"/>
        <v>①架電|</v>
      </c>
      <c r="Q7" s="1" t="str">
        <f>IFERROR(VLOOKUP(P7,スクリプト_フロー!$A:$F,5,FALSE),"")</f>
        <v/>
      </c>
      <c r="R7" s="6" t="str">
        <f t="shared" si="8"/>
        <v/>
      </c>
      <c r="S7" s="6"/>
      <c r="T7" s="4" t="str">
        <f>IF(DA7="","",SUBSTITUTE(SUBSTITUTE(SUBSTITUTE(SUBSTITUTE(SUBSTITUTE(SUBSTITUTE(SUBSTITUTE(SUBSTITUTE(SUBSTITUTE(SUBSTITUTE(SUBSTITUTE(DA7,"{会社}",設定!$B$3),"{自分}",設定!$B$4),"{サービス}",設定!$B$5),"{料金}",設定!$B$7),"{日付1}",設定!$B$8),"{日付2}",設定!$B$9),"{時間1}",設定!$B$10),"{時間2}",設定!$B$11),"{時間}","（指定時間）"),"{日付確定}","（確定日）"),"{時間確定}","（確定時間）"))</f>
        <v/>
      </c>
      <c r="U7" s="1" t="str">
        <f>IFERROR(VLOOKUP(CZ7,スクリプト_フロー!$A:$F,4,FALSE),"")</f>
        <v/>
      </c>
      <c r="V7" s="6" t="str">
        <f t="shared" si="1"/>
        <v/>
      </c>
      <c r="W7" s="6"/>
      <c r="X7" s="4" t="str">
        <f>IF(DC7="","",SUBSTITUTE(SUBSTITUTE(SUBSTITUTE(SUBSTITUTE(SUBSTITUTE(SUBSTITUTE(SUBSTITUTE(SUBSTITUTE(SUBSTITUTE(SUBSTITUTE(SUBSTITUTE(DC7,"{会社}",設定!$B$3),"{自分}",設定!$B$4),"{サービス}",設定!$B$5),"{料金}",設定!$B$7),"{日付1}",設定!$B$8),"{日付2}",設定!$B$9),"{時間1}",設定!$B$10),"{時間2}",設定!$B$11),"{時間}","（指定時間）"),"{日付確定}","（確定日）"),"{時間確定}","（確定時間）"))</f>
        <v/>
      </c>
      <c r="Y7" s="1" t="str">
        <f>IFERROR(VLOOKUP(DB7,スクリプト_フロー!$A:$F,4,FALSE),"")</f>
        <v/>
      </c>
      <c r="Z7" s="6" t="str">
        <f t="shared" si="2"/>
        <v/>
      </c>
      <c r="AA7" s="11" t="s">
        <v>58</v>
      </c>
      <c r="AB7" s="4" t="str">
        <f>IF(DE7="","",SUBSTITUTE(SUBSTITUTE(SUBSTITUTE(SUBSTITUTE(SUBSTITUTE(SUBSTITUTE(SUBSTITUTE(SUBSTITUTE(SUBSTITUTE(SUBSTITUTE(SUBSTITUTE(DE7,"{会社}",設定!$B$3),"{自分}",設定!$B$4),"{サービス}",設定!$B$5),"{料金}",設定!$B$7),"{日付1}",設定!$B$8),"{日付2}",設定!$B$9),"{時間1}",設定!$B$10),"{時間2}",設定!$B$11),"{時間}","（指定時間）"),"{日付確定}","（確定日）"),"{時間確定}","（確定時間）"))</f>
        <v/>
      </c>
      <c r="AC7" s="1" t="str">
        <f>IFERROR(VLOOKUP(DD7,スクリプト_フロー!$A:$F,4,FALSE),"")</f>
        <v/>
      </c>
      <c r="AD7" s="11" t="str">
        <f t="shared" si="3"/>
        <v/>
      </c>
      <c r="AE7" s="11" t="s">
        <v>59</v>
      </c>
      <c r="AF7" s="4" t="str">
        <f>IF(DG7="","",SUBSTITUTE(SUBSTITUTE(SUBSTITUTE(SUBSTITUTE(SUBSTITUTE(SUBSTITUTE(SUBSTITUTE(SUBSTITUTE(SUBSTITUTE(SUBSTITUTE(SUBSTITUTE(DG7,"{会社}",設定!$B$3),"{自分}",設定!$B$4),"{サービス}",設定!$B$5),"{料金}",設定!$B$7),"{日付1}",設定!$B$8),"{日付2}",設定!$B$9),"{時間1}",設定!$B$10),"{時間2}",設定!$B$11),"{時間}","（指定時間）"),"{日付確定}","（確定日）"),"{時間確定}","（確定時間）"))</f>
        <v/>
      </c>
      <c r="AG7" s="1" t="str">
        <f>IFERROR(VLOOKUP(DF7,スクリプト_フロー!$A:$F,4,FALSE),"")</f>
        <v/>
      </c>
      <c r="CZ7" s="1" t="str">
        <f t="shared" si="4"/>
        <v>|</v>
      </c>
      <c r="DA7" s="1" t="str">
        <f>IFERROR(VLOOKUP(CZ7,スクリプト_フロー!$A:$F,5,FALSE),"")</f>
        <v/>
      </c>
      <c r="DB7" s="1" t="str">
        <f t="shared" si="5"/>
        <v>|</v>
      </c>
      <c r="DC7" s="1" t="str">
        <f>IFERROR(VLOOKUP(DB7,スクリプト_フロー!$A:$F,5,FALSE),"")</f>
        <v/>
      </c>
      <c r="DD7" s="1" t="str">
        <f t="shared" si="6"/>
        <v>|⑤資料送付打診</v>
      </c>
      <c r="DE7" s="1" t="str">
        <f>IFERROR(VLOOKUP(DD7,スクリプト_フロー!$A:$F,5,FALSE),"")</f>
        <v/>
      </c>
      <c r="DF7" s="1" t="str">
        <f t="shared" si="7"/>
        <v>|RESPX_006</v>
      </c>
      <c r="DG7" s="1" t="str">
        <f>IFERROR(VLOOKUP(DF7,スクリプト_フロー!$A:$F,5,FALSE),"")</f>
        <v/>
      </c>
    </row>
    <row r="8" spans="1:111" ht="21">
      <c r="A8" s="1">
        <v>7</v>
      </c>
      <c r="B8" s="1" t="s">
        <v>60</v>
      </c>
      <c r="C8" s="1" t="s">
        <v>61</v>
      </c>
      <c r="D8" s="1" t="s">
        <v>62</v>
      </c>
      <c r="E8" s="6"/>
      <c r="F8" s="6"/>
      <c r="G8" s="6" t="s">
        <v>34</v>
      </c>
      <c r="H8" s="6"/>
      <c r="I8" s="4" t="str">
        <f>SUBSTITUTE(SUBSTITUTE(SUBSTITUTE(SUBSTITUTE(SUBSTITUTE(SUBSTITUTE(SUBSTITUTE(SUBSTITUTE(SUBSTITUTE(SUBSTITUTE(SUBSTITUTE(Q8,"{会社}",設定!$B$3),"{自分}",設定!$B$4),"{サービス}",設定!$B$5),"{料金}",設定!$B$7),"{日付1}",設定!$B$8),"{日付2}",設定!$B$9),"{時間1}",設定!$B$10),"{時間2}",設定!$B$11),"{時間}","（指定時間）"),"{日付確定}","（確定日）"),"{時間確定}","（確定時間）")</f>
        <v/>
      </c>
      <c r="J8" s="1" t="str">
        <f>IFERROR(VLOOKUP(P8,スクリプト_フロー!$A:$F,4,FALSE),"")</f>
        <v/>
      </c>
      <c r="K8" s="6" t="s">
        <v>35</v>
      </c>
      <c r="L8" s="6"/>
      <c r="M8" s="6"/>
      <c r="N8" s="6"/>
      <c r="O8" s="1"/>
      <c r="P8" s="1" t="str">
        <f t="shared" si="0"/>
        <v>①架電|</v>
      </c>
      <c r="Q8" s="1" t="str">
        <f>IFERROR(VLOOKUP(P8,スクリプト_フロー!$A:$F,5,FALSE),"")</f>
        <v/>
      </c>
      <c r="R8" s="6" t="str">
        <f t="shared" si="8"/>
        <v/>
      </c>
      <c r="S8" s="6"/>
      <c r="T8" s="4" t="str">
        <f>IF(DA8="","",SUBSTITUTE(SUBSTITUTE(SUBSTITUTE(SUBSTITUTE(SUBSTITUTE(SUBSTITUTE(SUBSTITUTE(SUBSTITUTE(SUBSTITUTE(SUBSTITUTE(SUBSTITUTE(DA8,"{会社}",設定!$B$3),"{自分}",設定!$B$4),"{サービス}",設定!$B$5),"{料金}",設定!$B$7),"{日付1}",設定!$B$8),"{日付2}",設定!$B$9),"{時間1}",設定!$B$10),"{時間2}",設定!$B$11),"{時間}","（指定時間）"),"{日付確定}","（確定日）"),"{時間確定}","（確定時間）"))</f>
        <v/>
      </c>
      <c r="U8" s="1" t="str">
        <f>IFERROR(VLOOKUP(CZ8,スクリプト_フロー!$A:$F,4,FALSE),"")</f>
        <v/>
      </c>
      <c r="V8" s="6" t="str">
        <f t="shared" si="1"/>
        <v/>
      </c>
      <c r="W8" s="6"/>
      <c r="X8" s="4" t="str">
        <f>IF(DC8="","",SUBSTITUTE(SUBSTITUTE(SUBSTITUTE(SUBSTITUTE(SUBSTITUTE(SUBSTITUTE(SUBSTITUTE(SUBSTITUTE(SUBSTITUTE(SUBSTITUTE(SUBSTITUTE(DC8,"{会社}",設定!$B$3),"{自分}",設定!$B$4),"{サービス}",設定!$B$5),"{料金}",設定!$B$7),"{日付1}",設定!$B$8),"{日付2}",設定!$B$9),"{時間1}",設定!$B$10),"{時間2}",設定!$B$11),"{時間}","（指定時間）"),"{日付確定}","（確定日）"),"{時間確定}","（確定時間）"))</f>
        <v/>
      </c>
      <c r="Y8" s="1" t="str">
        <f>IFERROR(VLOOKUP(DB8,スクリプト_フロー!$A:$F,4,FALSE),"")</f>
        <v/>
      </c>
      <c r="Z8" s="6" t="str">
        <f t="shared" si="2"/>
        <v/>
      </c>
      <c r="AA8" s="11" t="s">
        <v>63</v>
      </c>
      <c r="AB8" s="4" t="str">
        <f>IF(DE8="","",SUBSTITUTE(SUBSTITUTE(SUBSTITUTE(SUBSTITUTE(SUBSTITUTE(SUBSTITUTE(SUBSTITUTE(SUBSTITUTE(SUBSTITUTE(SUBSTITUTE(SUBSTITUTE(DE8,"{会社}",設定!$B$3),"{自分}",設定!$B$4),"{サービス}",設定!$B$5),"{料金}",設定!$B$7),"{日付1}",設定!$B$8),"{日付2}",設定!$B$9),"{時間1}",設定!$B$10),"{時間2}",設定!$B$11),"{時間}","（指定時間）"),"{日付確定}","（確定日）"),"{時間確定}","（確定時間）"))</f>
        <v/>
      </c>
      <c r="AC8" s="1" t="str">
        <f>IFERROR(VLOOKUP(DD8,スクリプト_フロー!$A:$F,4,FALSE),"")</f>
        <v/>
      </c>
      <c r="AD8" s="11" t="str">
        <f t="shared" si="3"/>
        <v/>
      </c>
      <c r="AE8" s="11" t="s">
        <v>64</v>
      </c>
      <c r="AF8" s="4" t="str">
        <f>IF(DG8="","",SUBSTITUTE(SUBSTITUTE(SUBSTITUTE(SUBSTITUTE(SUBSTITUTE(SUBSTITUTE(SUBSTITUTE(SUBSTITUTE(SUBSTITUTE(SUBSTITUTE(SUBSTITUTE(DG8,"{会社}",設定!$B$3),"{自分}",設定!$B$4),"{サービス}",設定!$B$5),"{料金}",設定!$B$7),"{日付1}",設定!$B$8),"{日付2}",設定!$B$9),"{時間1}",設定!$B$10),"{時間2}",設定!$B$11),"{時間}","（指定時間）"),"{日付確定}","（確定日）"),"{時間確定}","（確定時間）"))</f>
        <v/>
      </c>
      <c r="AG8" s="1" t="str">
        <f>IFERROR(VLOOKUP(DF8,スクリプト_フロー!$A:$F,4,FALSE),"")</f>
        <v/>
      </c>
      <c r="CZ8" s="1" t="str">
        <f t="shared" si="4"/>
        <v>|</v>
      </c>
      <c r="DA8" s="1" t="str">
        <f>IFERROR(VLOOKUP(CZ8,スクリプト_フロー!$A:$F,5,FALSE),"")</f>
        <v/>
      </c>
      <c r="DB8" s="1" t="str">
        <f t="shared" si="5"/>
        <v>|</v>
      </c>
      <c r="DC8" s="1" t="str">
        <f>IFERROR(VLOOKUP(DB8,スクリプト_フロー!$A:$F,5,FALSE),"")</f>
        <v/>
      </c>
      <c r="DD8" s="1" t="str">
        <f t="shared" si="6"/>
        <v>|⑥目的伝達</v>
      </c>
      <c r="DE8" s="1" t="str">
        <f>IFERROR(VLOOKUP(DD8,スクリプト_フロー!$A:$F,5,FALSE),"")</f>
        <v/>
      </c>
      <c r="DF8" s="1" t="str">
        <f t="shared" si="7"/>
        <v>|RESPX_007</v>
      </c>
      <c r="DG8" s="1" t="str">
        <f>IFERROR(VLOOKUP(DF8,スクリプト_フロー!$A:$F,5,FALSE),"")</f>
        <v/>
      </c>
    </row>
    <row r="9" spans="1:111" ht="21">
      <c r="A9" s="1">
        <v>8</v>
      </c>
      <c r="B9" s="1" t="s">
        <v>65</v>
      </c>
      <c r="C9" s="1" t="s">
        <v>66</v>
      </c>
      <c r="D9" s="1" t="s">
        <v>44</v>
      </c>
      <c r="E9" s="6"/>
      <c r="F9" s="6"/>
      <c r="G9" s="6" t="s">
        <v>34</v>
      </c>
      <c r="H9" s="6"/>
      <c r="I9" s="4" t="str">
        <f>SUBSTITUTE(SUBSTITUTE(SUBSTITUTE(SUBSTITUTE(SUBSTITUTE(SUBSTITUTE(SUBSTITUTE(SUBSTITUTE(SUBSTITUTE(SUBSTITUTE(SUBSTITUTE(Q9,"{会社}",設定!$B$3),"{自分}",設定!$B$4),"{サービス}",設定!$B$5),"{料金}",設定!$B$7),"{日付1}",設定!$B$8),"{日付2}",設定!$B$9),"{時間1}",設定!$B$10),"{時間2}",設定!$B$11),"{時間}","（指定時間）"),"{日付確定}","（確定日）"),"{時間確定}","（確定時間）")</f>
        <v/>
      </c>
      <c r="J9" s="1" t="str">
        <f>IFERROR(VLOOKUP(P9,スクリプト_フロー!$A:$F,4,FALSE),"")</f>
        <v/>
      </c>
      <c r="K9" s="6" t="s">
        <v>35</v>
      </c>
      <c r="L9" s="6"/>
      <c r="M9" s="6"/>
      <c r="N9" s="6"/>
      <c r="O9" s="1"/>
      <c r="P9" s="1" t="str">
        <f t="shared" si="0"/>
        <v>①架電|</v>
      </c>
      <c r="Q9" s="1" t="str">
        <f>IFERROR(VLOOKUP(P9,スクリプト_フロー!$A:$F,5,FALSE),"")</f>
        <v/>
      </c>
      <c r="R9" s="6" t="str">
        <f t="shared" si="8"/>
        <v/>
      </c>
      <c r="S9" s="6"/>
      <c r="T9" s="4" t="str">
        <f>IF(DA9="","",SUBSTITUTE(SUBSTITUTE(SUBSTITUTE(SUBSTITUTE(SUBSTITUTE(SUBSTITUTE(SUBSTITUTE(SUBSTITUTE(SUBSTITUTE(SUBSTITUTE(SUBSTITUTE(DA9,"{会社}",設定!$B$3),"{自分}",設定!$B$4),"{サービス}",設定!$B$5),"{料金}",設定!$B$7),"{日付1}",設定!$B$8),"{日付2}",設定!$B$9),"{時間1}",設定!$B$10),"{時間2}",設定!$B$11),"{時間}","（指定時間）"),"{日付確定}","（確定日）"),"{時間確定}","（確定時間）"))</f>
        <v/>
      </c>
      <c r="U9" s="1" t="str">
        <f>IFERROR(VLOOKUP(CZ9,スクリプト_フロー!$A:$F,4,FALSE),"")</f>
        <v/>
      </c>
      <c r="V9" s="6" t="str">
        <f t="shared" si="1"/>
        <v/>
      </c>
      <c r="W9" s="6"/>
      <c r="X9" s="4" t="str">
        <f>IF(DC9="","",SUBSTITUTE(SUBSTITUTE(SUBSTITUTE(SUBSTITUTE(SUBSTITUTE(SUBSTITUTE(SUBSTITUTE(SUBSTITUTE(SUBSTITUTE(SUBSTITUTE(SUBSTITUTE(DC9,"{会社}",設定!$B$3),"{自分}",設定!$B$4),"{サービス}",設定!$B$5),"{料金}",設定!$B$7),"{日付1}",設定!$B$8),"{日付2}",設定!$B$9),"{時間1}",設定!$B$10),"{時間2}",設定!$B$11),"{時間}","（指定時間）"),"{日付確定}","（確定日）"),"{時間確定}","（確定時間）"))</f>
        <v/>
      </c>
      <c r="Y9" s="1" t="str">
        <f>IFERROR(VLOOKUP(DB9,スクリプト_フロー!$A:$F,4,FALSE),"")</f>
        <v/>
      </c>
      <c r="Z9" s="6" t="str">
        <f t="shared" si="2"/>
        <v/>
      </c>
      <c r="AA9" s="11" t="s">
        <v>67</v>
      </c>
      <c r="AB9" s="4" t="str">
        <f>IF(DE9="","",SUBSTITUTE(SUBSTITUTE(SUBSTITUTE(SUBSTITUTE(SUBSTITUTE(SUBSTITUTE(SUBSTITUTE(SUBSTITUTE(SUBSTITUTE(SUBSTITUTE(SUBSTITUTE(DE9,"{会社}",設定!$B$3),"{自分}",設定!$B$4),"{サービス}",設定!$B$5),"{料金}",設定!$B$7),"{日付1}",設定!$B$8),"{日付2}",設定!$B$9),"{時間1}",設定!$B$10),"{時間2}",設定!$B$11),"{時間}","（指定時間）"),"{日付確定}","（確定日）"),"{時間確定}","（確定時間）"))</f>
        <v/>
      </c>
      <c r="AC9" s="1" t="str">
        <f>IFERROR(VLOOKUP(DD9,スクリプト_フロー!$A:$F,4,FALSE),"")</f>
        <v/>
      </c>
      <c r="AD9" s="11" t="str">
        <f t="shared" si="3"/>
        <v/>
      </c>
      <c r="AE9" s="11" t="s">
        <v>68</v>
      </c>
      <c r="AF9" s="4" t="str">
        <f>IF(DG9="","",SUBSTITUTE(SUBSTITUTE(SUBSTITUTE(SUBSTITUTE(SUBSTITUTE(SUBSTITUTE(SUBSTITUTE(SUBSTITUTE(SUBSTITUTE(SUBSTITUTE(SUBSTITUTE(DG9,"{会社}",設定!$B$3),"{自分}",設定!$B$4),"{サービス}",設定!$B$5),"{料金}",設定!$B$7),"{日付1}",設定!$B$8),"{日付2}",設定!$B$9),"{時間1}",設定!$B$10),"{時間2}",設定!$B$11),"{時間}","（指定時間）"),"{日付確定}","（確定日）"),"{時間確定}","（確定時間）"))</f>
        <v/>
      </c>
      <c r="AG9" s="1" t="str">
        <f>IFERROR(VLOOKUP(DF9,スクリプト_フロー!$A:$F,4,FALSE),"")</f>
        <v/>
      </c>
      <c r="CZ9" s="1" t="str">
        <f t="shared" si="4"/>
        <v>|</v>
      </c>
      <c r="DA9" s="1" t="str">
        <f>IFERROR(VLOOKUP(CZ9,スクリプト_フロー!$A:$F,5,FALSE),"")</f>
        <v/>
      </c>
      <c r="DB9" s="1" t="str">
        <f t="shared" si="5"/>
        <v>|</v>
      </c>
      <c r="DC9" s="1" t="str">
        <f>IFERROR(VLOOKUP(DB9,スクリプト_フロー!$A:$F,5,FALSE),"")</f>
        <v/>
      </c>
      <c r="DD9" s="1" t="str">
        <f t="shared" si="6"/>
        <v>|⑦メリット</v>
      </c>
      <c r="DE9" s="1" t="str">
        <f>IFERROR(VLOOKUP(DD9,スクリプト_フロー!$A:$F,5,FALSE),"")</f>
        <v/>
      </c>
      <c r="DF9" s="1" t="str">
        <f t="shared" si="7"/>
        <v>|RESPX_008</v>
      </c>
      <c r="DG9" s="1" t="str">
        <f>IFERROR(VLOOKUP(DF9,スクリプト_フロー!$A:$F,5,FALSE),"")</f>
        <v/>
      </c>
    </row>
    <row r="10" spans="1:111" ht="21">
      <c r="A10" s="1">
        <v>9</v>
      </c>
      <c r="B10" s="1" t="s">
        <v>69</v>
      </c>
      <c r="C10" s="1" t="s">
        <v>70</v>
      </c>
      <c r="D10" s="1" t="s">
        <v>44</v>
      </c>
      <c r="E10" s="6"/>
      <c r="F10" s="6"/>
      <c r="G10" s="6" t="s">
        <v>34</v>
      </c>
      <c r="H10" s="6"/>
      <c r="I10" s="4" t="str">
        <f>SUBSTITUTE(SUBSTITUTE(SUBSTITUTE(SUBSTITUTE(SUBSTITUTE(SUBSTITUTE(SUBSTITUTE(SUBSTITUTE(SUBSTITUTE(SUBSTITUTE(SUBSTITUTE(Q10,"{会社}",設定!$B$3),"{自分}",設定!$B$4),"{サービス}",設定!$B$5),"{料金}",設定!$B$7),"{日付1}",設定!$B$8),"{日付2}",設定!$B$9),"{時間1}",設定!$B$10),"{時間2}",設定!$B$11),"{時間}","（指定時間）"),"{日付確定}","（確定日）"),"{時間確定}","（確定時間）")</f>
        <v/>
      </c>
      <c r="J10" s="1" t="str">
        <f>IFERROR(VLOOKUP(P10,スクリプト_フロー!$A:$F,4,FALSE),"")</f>
        <v/>
      </c>
      <c r="K10" s="6" t="s">
        <v>35</v>
      </c>
      <c r="L10" s="6"/>
      <c r="M10" s="6"/>
      <c r="N10" s="6"/>
      <c r="O10" s="1"/>
      <c r="P10" s="1" t="str">
        <f t="shared" si="0"/>
        <v>①架電|</v>
      </c>
      <c r="Q10" s="1" t="str">
        <f>IFERROR(VLOOKUP(P10,スクリプト_フロー!$A:$F,5,FALSE),"")</f>
        <v/>
      </c>
      <c r="R10" s="6" t="str">
        <f t="shared" si="8"/>
        <v/>
      </c>
      <c r="S10" s="6"/>
      <c r="T10" s="4" t="str">
        <f>IF(DA10="","",SUBSTITUTE(SUBSTITUTE(SUBSTITUTE(SUBSTITUTE(SUBSTITUTE(SUBSTITUTE(SUBSTITUTE(SUBSTITUTE(SUBSTITUTE(SUBSTITUTE(SUBSTITUTE(DA10,"{会社}",設定!$B$3),"{自分}",設定!$B$4),"{サービス}",設定!$B$5),"{料金}",設定!$B$7),"{日付1}",設定!$B$8),"{日付2}",設定!$B$9),"{時間1}",設定!$B$10),"{時間2}",設定!$B$11),"{時間}","（指定時間）"),"{日付確定}","（確定日）"),"{時間確定}","（確定時間）"))</f>
        <v/>
      </c>
      <c r="U10" s="1" t="str">
        <f>IFERROR(VLOOKUP(CZ10,スクリプト_フロー!$A:$F,4,FALSE),"")</f>
        <v/>
      </c>
      <c r="V10" s="6" t="str">
        <f t="shared" si="1"/>
        <v/>
      </c>
      <c r="W10" s="6"/>
      <c r="X10" s="4" t="str">
        <f>IF(DC10="","",SUBSTITUTE(SUBSTITUTE(SUBSTITUTE(SUBSTITUTE(SUBSTITUTE(SUBSTITUTE(SUBSTITUTE(SUBSTITUTE(SUBSTITUTE(SUBSTITUTE(SUBSTITUTE(DC10,"{会社}",設定!$B$3),"{自分}",設定!$B$4),"{サービス}",設定!$B$5),"{料金}",設定!$B$7),"{日付1}",設定!$B$8),"{日付2}",設定!$B$9),"{時間1}",設定!$B$10),"{時間2}",設定!$B$11),"{時間}","（指定時間）"),"{日付確定}","（確定日）"),"{時間確定}","（確定時間）"))</f>
        <v/>
      </c>
      <c r="Y10" s="1" t="str">
        <f>IFERROR(VLOOKUP(DB10,スクリプト_フロー!$A:$F,4,FALSE),"")</f>
        <v/>
      </c>
      <c r="Z10" s="6" t="str">
        <f t="shared" si="2"/>
        <v/>
      </c>
      <c r="AA10" s="11" t="s">
        <v>71</v>
      </c>
      <c r="AB10" s="4" t="str">
        <f>IF(DE10="","",SUBSTITUTE(SUBSTITUTE(SUBSTITUTE(SUBSTITUTE(SUBSTITUTE(SUBSTITUTE(SUBSTITUTE(SUBSTITUTE(SUBSTITUTE(SUBSTITUTE(SUBSTITUTE(DE10,"{会社}",設定!$B$3),"{自分}",設定!$B$4),"{サービス}",設定!$B$5),"{料金}",設定!$B$7),"{日付1}",設定!$B$8),"{日付2}",設定!$B$9),"{時間1}",設定!$B$10),"{時間2}",設定!$B$11),"{時間}","（指定時間）"),"{日付確定}","（確定日）"),"{時間確定}","（確定時間）"))</f>
        <v/>
      </c>
      <c r="AC10" s="1" t="str">
        <f>IFERROR(VLOOKUP(DD10,スクリプト_フロー!$A:$F,4,FALSE),"")</f>
        <v/>
      </c>
      <c r="AD10" s="11" t="str">
        <f t="shared" si="3"/>
        <v/>
      </c>
      <c r="AE10" s="11" t="s">
        <v>72</v>
      </c>
      <c r="AF10" s="4" t="str">
        <f>IF(DG10="","",SUBSTITUTE(SUBSTITUTE(SUBSTITUTE(SUBSTITUTE(SUBSTITUTE(SUBSTITUTE(SUBSTITUTE(SUBSTITUTE(SUBSTITUTE(SUBSTITUTE(SUBSTITUTE(DG10,"{会社}",設定!$B$3),"{自分}",設定!$B$4),"{サービス}",設定!$B$5),"{料金}",設定!$B$7),"{日付1}",設定!$B$8),"{日付2}",設定!$B$9),"{時間1}",設定!$B$10),"{時間2}",設定!$B$11),"{時間}","（指定時間）"),"{日付確定}","（確定日）"),"{時間確定}","（確定時間）"))</f>
        <v/>
      </c>
      <c r="AG10" s="1" t="str">
        <f>IFERROR(VLOOKUP(DF10,スクリプト_フロー!$A:$F,4,FALSE),"")</f>
        <v/>
      </c>
      <c r="CZ10" s="1" t="str">
        <f t="shared" si="4"/>
        <v>|</v>
      </c>
      <c r="DA10" s="1" t="str">
        <f>IFERROR(VLOOKUP(CZ10,スクリプト_フロー!$A:$F,5,FALSE),"")</f>
        <v/>
      </c>
      <c r="DB10" s="1" t="str">
        <f t="shared" si="5"/>
        <v>|</v>
      </c>
      <c r="DC10" s="1" t="str">
        <f>IFERROR(VLOOKUP(DB10,スクリプト_フロー!$A:$F,5,FALSE),"")</f>
        <v/>
      </c>
      <c r="DD10" s="1" t="str">
        <f t="shared" si="6"/>
        <v>|⑧費用説明</v>
      </c>
      <c r="DE10" s="1" t="str">
        <f>IFERROR(VLOOKUP(DD10,スクリプト_フロー!$A:$F,5,FALSE),"")</f>
        <v/>
      </c>
      <c r="DF10" s="1" t="str">
        <f t="shared" si="7"/>
        <v>|RESPX_009</v>
      </c>
      <c r="DG10" s="1" t="str">
        <f>IFERROR(VLOOKUP(DF10,スクリプト_フロー!$A:$F,5,FALSE),"")</f>
        <v/>
      </c>
    </row>
    <row r="11" spans="1:111" ht="21">
      <c r="A11" s="1">
        <v>10</v>
      </c>
      <c r="B11" s="1" t="s">
        <v>73</v>
      </c>
      <c r="C11" s="1" t="s">
        <v>74</v>
      </c>
      <c r="D11" s="1" t="s">
        <v>44</v>
      </c>
      <c r="E11" s="6"/>
      <c r="F11" s="6"/>
      <c r="G11" s="6" t="s">
        <v>34</v>
      </c>
      <c r="H11" s="6"/>
      <c r="I11" s="4" t="str">
        <f>SUBSTITUTE(SUBSTITUTE(SUBSTITUTE(SUBSTITUTE(SUBSTITUTE(SUBSTITUTE(SUBSTITUTE(SUBSTITUTE(SUBSTITUTE(SUBSTITUTE(SUBSTITUTE(Q11,"{会社}",設定!$B$3),"{自分}",設定!$B$4),"{サービス}",設定!$B$5),"{料金}",設定!$B$7),"{日付1}",設定!$B$8),"{日付2}",設定!$B$9),"{時間1}",設定!$B$10),"{時間2}",設定!$B$11),"{時間}","（指定時間）"),"{日付確定}","（確定日）"),"{時間確定}","（確定時間）")</f>
        <v/>
      </c>
      <c r="J11" s="1" t="str">
        <f>IFERROR(VLOOKUP(P11,スクリプト_フロー!$A:$F,4,FALSE),"")</f>
        <v/>
      </c>
      <c r="K11" s="6" t="s">
        <v>35</v>
      </c>
      <c r="L11" s="6"/>
      <c r="M11" s="6"/>
      <c r="N11" s="6"/>
      <c r="O11" s="1"/>
      <c r="P11" s="1" t="str">
        <f t="shared" si="0"/>
        <v>①架電|</v>
      </c>
      <c r="Q11" s="1" t="str">
        <f>IFERROR(VLOOKUP(P11,スクリプト_フロー!$A:$F,5,FALSE),"")</f>
        <v/>
      </c>
      <c r="R11" s="6" t="str">
        <f t="shared" si="8"/>
        <v/>
      </c>
      <c r="S11" s="6"/>
      <c r="T11" s="4" t="str">
        <f>IF(DA11="","",SUBSTITUTE(SUBSTITUTE(SUBSTITUTE(SUBSTITUTE(SUBSTITUTE(SUBSTITUTE(SUBSTITUTE(SUBSTITUTE(SUBSTITUTE(SUBSTITUTE(SUBSTITUTE(DA11,"{会社}",設定!$B$3),"{自分}",設定!$B$4),"{サービス}",設定!$B$5),"{料金}",設定!$B$7),"{日付1}",設定!$B$8),"{日付2}",設定!$B$9),"{時間1}",設定!$B$10),"{時間2}",設定!$B$11),"{時間}","（指定時間）"),"{日付確定}","（確定日）"),"{時間確定}","（確定時間）"))</f>
        <v/>
      </c>
      <c r="U11" s="1" t="str">
        <f>IFERROR(VLOOKUP(CZ11,スクリプト_フロー!$A:$F,4,FALSE),"")</f>
        <v/>
      </c>
      <c r="V11" s="6" t="str">
        <f t="shared" si="1"/>
        <v/>
      </c>
      <c r="W11" s="6"/>
      <c r="X11" s="4" t="str">
        <f>IF(DC11="","",SUBSTITUTE(SUBSTITUTE(SUBSTITUTE(SUBSTITUTE(SUBSTITUTE(SUBSTITUTE(SUBSTITUTE(SUBSTITUTE(SUBSTITUTE(SUBSTITUTE(SUBSTITUTE(DC11,"{会社}",設定!$B$3),"{自分}",設定!$B$4),"{サービス}",設定!$B$5),"{料金}",設定!$B$7),"{日付1}",設定!$B$8),"{日付2}",設定!$B$9),"{時間1}",設定!$B$10),"{時間2}",設定!$B$11),"{時間}","（指定時間）"),"{日付確定}","（確定日）"),"{時間確定}","（確定時間）"))</f>
        <v/>
      </c>
      <c r="Y11" s="1" t="str">
        <f>IFERROR(VLOOKUP(DB11,スクリプト_フロー!$A:$F,4,FALSE),"")</f>
        <v/>
      </c>
      <c r="Z11" s="6" t="str">
        <f t="shared" si="2"/>
        <v/>
      </c>
      <c r="AA11" s="11" t="s">
        <v>75</v>
      </c>
      <c r="AB11" s="4" t="str">
        <f>IF(DE11="","",SUBSTITUTE(SUBSTITUTE(SUBSTITUTE(SUBSTITUTE(SUBSTITUTE(SUBSTITUTE(SUBSTITUTE(SUBSTITUTE(SUBSTITUTE(SUBSTITUTE(SUBSTITUTE(DE11,"{会社}",設定!$B$3),"{自分}",設定!$B$4),"{サービス}",設定!$B$5),"{料金}",設定!$B$7),"{日付1}",設定!$B$8),"{日付2}",設定!$B$9),"{時間1}",設定!$B$10),"{時間2}",設定!$B$11),"{時間}","（指定時間）"),"{日付確定}","（確定日）"),"{時間確定}","（確定時間）"))</f>
        <v/>
      </c>
      <c r="AC11" s="1" t="str">
        <f>IFERROR(VLOOKUP(DD11,スクリプト_フロー!$A:$F,4,FALSE),"")</f>
        <v/>
      </c>
      <c r="AD11" s="11" t="str">
        <f t="shared" si="3"/>
        <v/>
      </c>
      <c r="AE11" s="11" t="s">
        <v>76</v>
      </c>
      <c r="AF11" s="4" t="str">
        <f>IF(DG11="","",SUBSTITUTE(SUBSTITUTE(SUBSTITUTE(SUBSTITUTE(SUBSTITUTE(SUBSTITUTE(SUBSTITUTE(SUBSTITUTE(SUBSTITUTE(SUBSTITUTE(SUBSTITUTE(DG11,"{会社}",設定!$B$3),"{自分}",設定!$B$4),"{サービス}",設定!$B$5),"{料金}",設定!$B$7),"{日付1}",設定!$B$8),"{日付2}",設定!$B$9),"{時間1}",設定!$B$10),"{時間2}",設定!$B$11),"{時間}","（指定時間）"),"{日付確定}","（確定日）"),"{時間確定}","（確定時間）"))</f>
        <v/>
      </c>
      <c r="AG11" s="1" t="str">
        <f>IFERROR(VLOOKUP(DF11,スクリプト_フロー!$A:$F,4,FALSE),"")</f>
        <v/>
      </c>
      <c r="CZ11" s="1" t="str">
        <f t="shared" si="4"/>
        <v>|</v>
      </c>
      <c r="DA11" s="1" t="str">
        <f>IFERROR(VLOOKUP(CZ11,スクリプト_フロー!$A:$F,5,FALSE),"")</f>
        <v/>
      </c>
      <c r="DB11" s="1" t="str">
        <f t="shared" si="5"/>
        <v>|</v>
      </c>
      <c r="DC11" s="1" t="str">
        <f>IFERROR(VLOOKUP(DB11,スクリプト_フロー!$A:$F,5,FALSE),"")</f>
        <v/>
      </c>
      <c r="DD11" s="1" t="str">
        <f t="shared" si="6"/>
        <v>|⑨安全説明</v>
      </c>
      <c r="DE11" s="1" t="str">
        <f>IFERROR(VLOOKUP(DD11,スクリプト_フロー!$A:$F,5,FALSE),"")</f>
        <v/>
      </c>
      <c r="DF11" s="1" t="str">
        <f t="shared" si="7"/>
        <v>|RESPX_010</v>
      </c>
      <c r="DG11" s="1" t="str">
        <f>IFERROR(VLOOKUP(DF11,スクリプト_フロー!$A:$F,5,FALSE),"")</f>
        <v/>
      </c>
    </row>
    <row r="12" spans="1:111" ht="21">
      <c r="A12" s="1">
        <v>11</v>
      </c>
      <c r="B12" s="1" t="s">
        <v>77</v>
      </c>
      <c r="C12" s="1" t="s">
        <v>78</v>
      </c>
      <c r="D12" s="1" t="s">
        <v>79</v>
      </c>
      <c r="E12" s="6"/>
      <c r="F12" s="6"/>
      <c r="G12" s="6" t="s">
        <v>34</v>
      </c>
      <c r="H12" s="6"/>
      <c r="I12" s="4" t="str">
        <f>SUBSTITUTE(SUBSTITUTE(SUBSTITUTE(SUBSTITUTE(SUBSTITUTE(SUBSTITUTE(SUBSTITUTE(SUBSTITUTE(SUBSTITUTE(SUBSTITUTE(SUBSTITUTE(Q12,"{会社}",設定!$B$3),"{自分}",設定!$B$4),"{サービス}",設定!$B$5),"{料金}",設定!$B$7),"{日付1}",設定!$B$8),"{日付2}",設定!$B$9),"{時間1}",設定!$B$10),"{時間2}",設定!$B$11),"{時間}","（指定時間）"),"{日付確定}","（確定日）"),"{時間確定}","（確定時間）")</f>
        <v/>
      </c>
      <c r="J12" s="1" t="str">
        <f>IFERROR(VLOOKUP(P12,スクリプト_フロー!$A:$F,4,FALSE),"")</f>
        <v/>
      </c>
      <c r="K12" s="6" t="s">
        <v>35</v>
      </c>
      <c r="L12" s="6"/>
      <c r="M12" s="6"/>
      <c r="N12" s="6"/>
      <c r="O12" s="1"/>
      <c r="P12" s="1" t="str">
        <f t="shared" si="0"/>
        <v>①架電|</v>
      </c>
      <c r="Q12" s="1" t="str">
        <f>IFERROR(VLOOKUP(P12,スクリプト_フロー!$A:$F,5,FALSE),"")</f>
        <v/>
      </c>
      <c r="R12" s="6" t="str">
        <f t="shared" si="8"/>
        <v/>
      </c>
      <c r="S12" s="6"/>
      <c r="T12" s="4" t="str">
        <f>IF(DA12="","",SUBSTITUTE(SUBSTITUTE(SUBSTITUTE(SUBSTITUTE(SUBSTITUTE(SUBSTITUTE(SUBSTITUTE(SUBSTITUTE(SUBSTITUTE(SUBSTITUTE(SUBSTITUTE(DA12,"{会社}",設定!$B$3),"{自分}",設定!$B$4),"{サービス}",設定!$B$5),"{料金}",設定!$B$7),"{日付1}",設定!$B$8),"{日付2}",設定!$B$9),"{時間1}",設定!$B$10),"{時間2}",設定!$B$11),"{時間}","（指定時間）"),"{日付確定}","（確定日）"),"{時間確定}","（確定時間）"))</f>
        <v/>
      </c>
      <c r="U12" s="1" t="str">
        <f>IFERROR(VLOOKUP(CZ12,スクリプト_フロー!$A:$F,4,FALSE),"")</f>
        <v/>
      </c>
      <c r="V12" s="6" t="str">
        <f t="shared" si="1"/>
        <v/>
      </c>
      <c r="W12" s="6"/>
      <c r="X12" s="4" t="str">
        <f>IF(DC12="","",SUBSTITUTE(SUBSTITUTE(SUBSTITUTE(SUBSTITUTE(SUBSTITUTE(SUBSTITUTE(SUBSTITUTE(SUBSTITUTE(SUBSTITUTE(SUBSTITUTE(SUBSTITUTE(DC12,"{会社}",設定!$B$3),"{自分}",設定!$B$4),"{サービス}",設定!$B$5),"{料金}",設定!$B$7),"{日付1}",設定!$B$8),"{日付2}",設定!$B$9),"{時間1}",設定!$B$10),"{時間2}",設定!$B$11),"{時間}","（指定時間）"),"{日付確定}","（確定日）"),"{時間確定}","（確定時間）"))</f>
        <v/>
      </c>
      <c r="Y12" s="1" t="str">
        <f>IFERROR(VLOOKUP(DB12,スクリプト_フロー!$A:$F,4,FALSE),"")</f>
        <v/>
      </c>
      <c r="Z12" s="6" t="str">
        <f t="shared" si="2"/>
        <v/>
      </c>
      <c r="AA12" s="6" t="s">
        <v>80</v>
      </c>
      <c r="AB12" s="4" t="str">
        <f>IF(DE12="","",SUBSTITUTE(SUBSTITUTE(SUBSTITUTE(SUBSTITUTE(SUBSTITUTE(SUBSTITUTE(SUBSTITUTE(SUBSTITUTE(SUBSTITUTE(SUBSTITUTE(SUBSTITUTE(DE12,"{会社}",設定!$B$3),"{自分}",設定!$B$4),"{サービス}",設定!$B$5),"{料金}",設定!$B$7),"{日付1}",設定!$B$8),"{日付2}",設定!$B$9),"{時間1}",設定!$B$10),"{時間2}",設定!$B$11),"{時間}","（指定時間）"),"{日付確定}","（確定日）"),"{時間確定}","（確定時間）"))</f>
        <v/>
      </c>
      <c r="AC12" s="1" t="str">
        <f>IFERROR(VLOOKUP(DD12,スクリプト_フロー!$A:$F,4,FALSE),"")</f>
        <v/>
      </c>
      <c r="AD12" s="6" t="str">
        <f t="shared" si="3"/>
        <v/>
      </c>
      <c r="AE12" s="6" t="s">
        <v>81</v>
      </c>
      <c r="AF12" s="4" t="str">
        <f>IF(DG12="","",SUBSTITUTE(SUBSTITUTE(SUBSTITUTE(SUBSTITUTE(SUBSTITUTE(SUBSTITUTE(SUBSTITUTE(SUBSTITUTE(SUBSTITUTE(SUBSTITUTE(SUBSTITUTE(DG12,"{会社}",設定!$B$3),"{自分}",設定!$B$4),"{サービス}",設定!$B$5),"{料金}",設定!$B$7),"{日付1}",設定!$B$8),"{日付2}",設定!$B$9),"{時間1}",設定!$B$10),"{時間2}",設定!$B$11),"{時間}","（指定時間）"),"{日付確定}","（確定日）"),"{時間確定}","（確定時間）"))</f>
        <v/>
      </c>
      <c r="AG12" s="1" t="str">
        <f>IFERROR(VLOOKUP(DF12,スクリプト_フロー!$A:$F,4,FALSE),"")</f>
        <v/>
      </c>
      <c r="CZ12" s="1" t="str">
        <f t="shared" si="4"/>
        <v>|</v>
      </c>
      <c r="DA12" s="1" t="str">
        <f>IFERROR(VLOOKUP(CZ12,スクリプト_フロー!$A:$F,5,FALSE),"")</f>
        <v/>
      </c>
      <c r="DB12" s="1" t="str">
        <f t="shared" si="5"/>
        <v>|</v>
      </c>
      <c r="DC12" s="1" t="str">
        <f>IFERROR(VLOOKUP(DB12,スクリプト_フロー!$A:$F,5,FALSE),"")</f>
        <v/>
      </c>
      <c r="DD12" s="1" t="str">
        <f t="shared" si="6"/>
        <v>|⑩ヒアリング</v>
      </c>
      <c r="DE12" s="1" t="str">
        <f>IFERROR(VLOOKUP(DD12,スクリプト_フロー!$A:$F,5,FALSE),"")</f>
        <v/>
      </c>
      <c r="DF12" s="1" t="str">
        <f t="shared" si="7"/>
        <v>|RESPX_011</v>
      </c>
      <c r="DG12" s="1" t="str">
        <f>IFERROR(VLOOKUP(DF12,スクリプト_フロー!$A:$F,5,FALSE),"")</f>
        <v/>
      </c>
    </row>
    <row r="13" spans="1:111" ht="21">
      <c r="A13" s="1">
        <v>12</v>
      </c>
      <c r="B13" s="1" t="s">
        <v>82</v>
      </c>
      <c r="C13" s="1" t="s">
        <v>83</v>
      </c>
      <c r="D13" s="1" t="s">
        <v>84</v>
      </c>
      <c r="E13" s="6"/>
      <c r="F13" s="6"/>
      <c r="G13" s="6" t="s">
        <v>34</v>
      </c>
      <c r="H13" s="6"/>
      <c r="I13" s="4" t="str">
        <f>SUBSTITUTE(SUBSTITUTE(SUBSTITUTE(SUBSTITUTE(SUBSTITUTE(SUBSTITUTE(SUBSTITUTE(SUBSTITUTE(SUBSTITUTE(SUBSTITUTE(SUBSTITUTE(Q13,"{会社}",設定!$B$3),"{自分}",設定!$B$4),"{サービス}",設定!$B$5),"{料金}",設定!$B$7),"{日付1}",設定!$B$8),"{日付2}",設定!$B$9),"{時間1}",設定!$B$10),"{時間2}",設定!$B$11),"{時間}","（指定時間）"),"{日付確定}","（確定日）"),"{時間確定}","（確定時間）")</f>
        <v/>
      </c>
      <c r="J13" s="1" t="str">
        <f>IFERROR(VLOOKUP(P13,スクリプト_フロー!$A:$F,4,FALSE),"")</f>
        <v/>
      </c>
      <c r="K13" s="6" t="s">
        <v>35</v>
      </c>
      <c r="L13" s="6"/>
      <c r="M13" s="6"/>
      <c r="N13" s="6"/>
      <c r="O13" s="1"/>
      <c r="P13" s="1" t="str">
        <f t="shared" si="0"/>
        <v>①架電|</v>
      </c>
      <c r="Q13" s="1" t="str">
        <f>IFERROR(VLOOKUP(P13,スクリプト_フロー!$A:$F,5,FALSE),"")</f>
        <v/>
      </c>
      <c r="R13" s="6" t="str">
        <f t="shared" si="8"/>
        <v/>
      </c>
      <c r="S13" s="6"/>
      <c r="T13" s="4" t="str">
        <f>IF(DA13="","",SUBSTITUTE(SUBSTITUTE(SUBSTITUTE(SUBSTITUTE(SUBSTITUTE(SUBSTITUTE(SUBSTITUTE(SUBSTITUTE(SUBSTITUTE(SUBSTITUTE(SUBSTITUTE(DA13,"{会社}",設定!$B$3),"{自分}",設定!$B$4),"{サービス}",設定!$B$5),"{料金}",設定!$B$7),"{日付1}",設定!$B$8),"{日付2}",設定!$B$9),"{時間1}",設定!$B$10),"{時間2}",設定!$B$11),"{時間}","（指定時間）"),"{日付確定}","（確定日）"),"{時間確定}","（確定時間）"))</f>
        <v/>
      </c>
      <c r="U13" s="1" t="str">
        <f>IFERROR(VLOOKUP(CZ13,スクリプト_フロー!$A:$F,4,FALSE),"")</f>
        <v/>
      </c>
      <c r="V13" s="6" t="str">
        <f t="shared" si="1"/>
        <v/>
      </c>
      <c r="W13" s="6"/>
      <c r="X13" s="4" t="str">
        <f>IF(DC13="","",SUBSTITUTE(SUBSTITUTE(SUBSTITUTE(SUBSTITUTE(SUBSTITUTE(SUBSTITUTE(SUBSTITUTE(SUBSTITUTE(SUBSTITUTE(SUBSTITUTE(SUBSTITUTE(DC13,"{会社}",設定!$B$3),"{自分}",設定!$B$4),"{サービス}",設定!$B$5),"{料金}",設定!$B$7),"{日付1}",設定!$B$8),"{日付2}",設定!$B$9),"{時間1}",設定!$B$10),"{時間2}",設定!$B$11),"{時間}","（指定時間）"),"{日付確定}","（確定日）"),"{時間確定}","（確定時間）"))</f>
        <v/>
      </c>
      <c r="Y13" s="1" t="str">
        <f>IFERROR(VLOOKUP(DB13,スクリプト_フロー!$A:$F,4,FALSE),"")</f>
        <v/>
      </c>
      <c r="Z13" s="6" t="str">
        <f t="shared" si="2"/>
        <v/>
      </c>
      <c r="AA13" s="6" t="s">
        <v>85</v>
      </c>
      <c r="AB13" s="4" t="str">
        <f>IF(DE13="","",SUBSTITUTE(SUBSTITUTE(SUBSTITUTE(SUBSTITUTE(SUBSTITUTE(SUBSTITUTE(SUBSTITUTE(SUBSTITUTE(SUBSTITUTE(SUBSTITUTE(SUBSTITUTE(DE13,"{会社}",設定!$B$3),"{自分}",設定!$B$4),"{サービス}",設定!$B$5),"{料金}",設定!$B$7),"{日付1}",設定!$B$8),"{日付2}",設定!$B$9),"{時間1}",設定!$B$10),"{時間2}",設定!$B$11),"{時間}","（指定時間）"),"{日付確定}","（確定日）"),"{時間確定}","（確定時間）"))</f>
        <v/>
      </c>
      <c r="AC13" s="1" t="str">
        <f>IFERROR(VLOOKUP(DD13,スクリプト_フロー!$A:$F,4,FALSE),"")</f>
        <v/>
      </c>
      <c r="AD13" s="6" t="str">
        <f t="shared" si="3"/>
        <v/>
      </c>
      <c r="AE13" s="6" t="s">
        <v>86</v>
      </c>
      <c r="AF13" s="4" t="str">
        <f>IF(DG13="","",SUBSTITUTE(SUBSTITUTE(SUBSTITUTE(SUBSTITUTE(SUBSTITUTE(SUBSTITUTE(SUBSTITUTE(SUBSTITUTE(SUBSTITUTE(SUBSTITUTE(SUBSTITUTE(DG13,"{会社}",設定!$B$3),"{自分}",設定!$B$4),"{サービス}",設定!$B$5),"{料金}",設定!$B$7),"{日付1}",設定!$B$8),"{日付2}",設定!$B$9),"{時間1}",設定!$B$10),"{時間2}",設定!$B$11),"{時間}","（指定時間）"),"{日付確定}","（確定日）"),"{時間確定}","（確定時間）"))</f>
        <v/>
      </c>
      <c r="AG13" s="1" t="str">
        <f>IFERROR(VLOOKUP(DF13,スクリプト_フロー!$A:$F,4,FALSE),"")</f>
        <v/>
      </c>
      <c r="CZ13" s="1" t="str">
        <f t="shared" si="4"/>
        <v>|</v>
      </c>
      <c r="DA13" s="1" t="str">
        <f>IFERROR(VLOOKUP(CZ13,スクリプト_フロー!$A:$F,5,FALSE),"")</f>
        <v/>
      </c>
      <c r="DB13" s="1" t="str">
        <f t="shared" si="5"/>
        <v>|</v>
      </c>
      <c r="DC13" s="1" t="str">
        <f>IFERROR(VLOOKUP(DB13,スクリプト_フロー!$A:$F,5,FALSE),"")</f>
        <v/>
      </c>
      <c r="DD13" s="1" t="str">
        <f t="shared" si="6"/>
        <v>|⑪代替案</v>
      </c>
      <c r="DE13" s="1" t="str">
        <f>IFERROR(VLOOKUP(DD13,スクリプト_フロー!$A:$F,5,FALSE),"")</f>
        <v/>
      </c>
      <c r="DF13" s="1" t="str">
        <f t="shared" si="7"/>
        <v>|RESPX_012</v>
      </c>
      <c r="DG13" s="1" t="str">
        <f>IFERROR(VLOOKUP(DF13,スクリプト_フロー!$A:$F,5,FALSE),"")</f>
        <v/>
      </c>
    </row>
    <row r="14" spans="1:111" ht="21">
      <c r="A14" s="1">
        <v>13</v>
      </c>
      <c r="B14" s="1" t="s">
        <v>87</v>
      </c>
      <c r="C14" s="1" t="s">
        <v>88</v>
      </c>
      <c r="D14" s="1" t="s">
        <v>89</v>
      </c>
      <c r="E14" s="6"/>
      <c r="F14" s="6"/>
      <c r="G14" s="6" t="s">
        <v>34</v>
      </c>
      <c r="H14" s="6"/>
      <c r="I14" s="4" t="str">
        <f>SUBSTITUTE(SUBSTITUTE(SUBSTITUTE(SUBSTITUTE(SUBSTITUTE(SUBSTITUTE(SUBSTITUTE(SUBSTITUTE(SUBSTITUTE(SUBSTITUTE(SUBSTITUTE(Q14,"{会社}",設定!$B$3),"{自分}",設定!$B$4),"{サービス}",設定!$B$5),"{料金}",設定!$B$7),"{日付1}",設定!$B$8),"{日付2}",設定!$B$9),"{時間1}",設定!$B$10),"{時間2}",設定!$B$11),"{時間}","（指定時間）"),"{日付確定}","（確定日）"),"{時間確定}","（確定時間）")</f>
        <v/>
      </c>
      <c r="J14" s="1" t="str">
        <f>IFERROR(VLOOKUP(P14,スクリプト_フロー!$A:$F,4,FALSE),"")</f>
        <v/>
      </c>
      <c r="K14" s="6" t="s">
        <v>35</v>
      </c>
      <c r="L14" s="6"/>
      <c r="M14" s="6"/>
      <c r="N14" s="6"/>
      <c r="O14" s="1"/>
      <c r="P14" s="1" t="str">
        <f t="shared" si="0"/>
        <v>①架電|</v>
      </c>
      <c r="Q14" s="1" t="str">
        <f>IFERROR(VLOOKUP(P14,スクリプト_フロー!$A:$F,5,FALSE),"")</f>
        <v/>
      </c>
      <c r="R14" s="6" t="str">
        <f t="shared" si="8"/>
        <v/>
      </c>
      <c r="S14" s="6"/>
      <c r="T14" s="4" t="str">
        <f>IF(DA14="","",SUBSTITUTE(SUBSTITUTE(SUBSTITUTE(SUBSTITUTE(SUBSTITUTE(SUBSTITUTE(SUBSTITUTE(SUBSTITUTE(SUBSTITUTE(SUBSTITUTE(SUBSTITUTE(DA14,"{会社}",設定!$B$3),"{自分}",設定!$B$4),"{サービス}",設定!$B$5),"{料金}",設定!$B$7),"{日付1}",設定!$B$8),"{日付2}",設定!$B$9),"{時間1}",設定!$B$10),"{時間2}",設定!$B$11),"{時間}","（指定時間）"),"{日付確定}","（確定日）"),"{時間確定}","（確定時間）"))</f>
        <v/>
      </c>
      <c r="U14" s="1" t="str">
        <f>IFERROR(VLOOKUP(CZ14,スクリプト_フロー!$A:$F,4,FALSE),"")</f>
        <v/>
      </c>
      <c r="V14" s="6" t="str">
        <f t="shared" si="1"/>
        <v/>
      </c>
      <c r="W14" s="6"/>
      <c r="X14" s="4" t="str">
        <f>IF(DC14="","",SUBSTITUTE(SUBSTITUTE(SUBSTITUTE(SUBSTITUTE(SUBSTITUTE(SUBSTITUTE(SUBSTITUTE(SUBSTITUTE(SUBSTITUTE(SUBSTITUTE(SUBSTITUTE(DC14,"{会社}",設定!$B$3),"{自分}",設定!$B$4),"{サービス}",設定!$B$5),"{料金}",設定!$B$7),"{日付1}",設定!$B$8),"{日付2}",設定!$B$9),"{時間1}",設定!$B$10),"{時間2}",設定!$B$11),"{時間}","（指定時間）"),"{日付確定}","（確定日）"),"{時間確定}","（確定時間）"))</f>
        <v/>
      </c>
      <c r="Y14" s="1" t="str">
        <f>IFERROR(VLOOKUP(DB14,スクリプト_フロー!$A:$F,4,FALSE),"")</f>
        <v/>
      </c>
      <c r="Z14" s="6" t="str">
        <f t="shared" si="2"/>
        <v/>
      </c>
      <c r="AA14" s="6" t="s">
        <v>90</v>
      </c>
      <c r="AB14" s="4" t="str">
        <f>IF(DE14="","",SUBSTITUTE(SUBSTITUTE(SUBSTITUTE(SUBSTITUTE(SUBSTITUTE(SUBSTITUTE(SUBSTITUTE(SUBSTITUTE(SUBSTITUTE(SUBSTITUTE(SUBSTITUTE(DE14,"{会社}",設定!$B$3),"{自分}",設定!$B$4),"{サービス}",設定!$B$5),"{料金}",設定!$B$7),"{日付1}",設定!$B$8),"{日付2}",設定!$B$9),"{時間1}",設定!$B$10),"{時間2}",設定!$B$11),"{時間}","（指定時間）"),"{日付確定}","（確定日）"),"{時間確定}","（確定時間）"))</f>
        <v/>
      </c>
      <c r="AC14" s="1" t="str">
        <f>IFERROR(VLOOKUP(DD14,スクリプト_フロー!$A:$F,4,FALSE),"")</f>
        <v/>
      </c>
      <c r="AD14" s="6" t="str">
        <f t="shared" si="3"/>
        <v/>
      </c>
      <c r="AE14" s="6" t="s">
        <v>91</v>
      </c>
      <c r="AF14" s="4" t="str">
        <f>IF(DG14="","",SUBSTITUTE(SUBSTITUTE(SUBSTITUTE(SUBSTITUTE(SUBSTITUTE(SUBSTITUTE(SUBSTITUTE(SUBSTITUTE(SUBSTITUTE(SUBSTITUTE(SUBSTITUTE(DG14,"{会社}",設定!$B$3),"{自分}",設定!$B$4),"{サービス}",設定!$B$5),"{料金}",設定!$B$7),"{日付1}",設定!$B$8),"{日付2}",設定!$B$9),"{時間1}",設定!$B$10),"{時間2}",設定!$B$11),"{時間}","（指定時間）"),"{日付確定}","（確定日）"),"{時間確定}","（確定時間）"))</f>
        <v/>
      </c>
      <c r="AG14" s="1" t="str">
        <f>IFERROR(VLOOKUP(DF14,スクリプト_フロー!$A:$F,4,FALSE),"")</f>
        <v/>
      </c>
      <c r="CZ14" s="1" t="str">
        <f t="shared" si="4"/>
        <v>|</v>
      </c>
      <c r="DA14" s="1" t="str">
        <f>IFERROR(VLOOKUP(CZ14,スクリプト_フロー!$A:$F,5,FALSE),"")</f>
        <v/>
      </c>
      <c r="DB14" s="1" t="str">
        <f t="shared" si="5"/>
        <v>|</v>
      </c>
      <c r="DC14" s="1" t="str">
        <f>IFERROR(VLOOKUP(DB14,スクリプト_フロー!$A:$F,5,FALSE),"")</f>
        <v/>
      </c>
      <c r="DD14" s="1" t="str">
        <f t="shared" si="6"/>
        <v>|⑫決裁者確認</v>
      </c>
      <c r="DE14" s="1" t="str">
        <f>IFERROR(VLOOKUP(DD14,スクリプト_フロー!$A:$F,5,FALSE),"")</f>
        <v/>
      </c>
      <c r="DF14" s="1" t="str">
        <f t="shared" si="7"/>
        <v>|RESPX_013</v>
      </c>
      <c r="DG14" s="1" t="str">
        <f>IFERROR(VLOOKUP(DF14,スクリプト_フロー!$A:$F,5,FALSE),"")</f>
        <v/>
      </c>
    </row>
    <row r="15" spans="1:111" ht="21">
      <c r="A15" s="1">
        <v>14</v>
      </c>
      <c r="B15" s="1" t="s">
        <v>92</v>
      </c>
      <c r="C15" s="1" t="s">
        <v>93</v>
      </c>
      <c r="D15" s="1" t="s">
        <v>94</v>
      </c>
      <c r="E15" s="6"/>
      <c r="F15" s="6"/>
      <c r="G15" s="6" t="s">
        <v>34</v>
      </c>
      <c r="H15" s="6"/>
      <c r="I15" s="4" t="str">
        <f>SUBSTITUTE(SUBSTITUTE(SUBSTITUTE(SUBSTITUTE(SUBSTITUTE(SUBSTITUTE(SUBSTITUTE(SUBSTITUTE(SUBSTITUTE(SUBSTITUTE(SUBSTITUTE(Q15,"{会社}",設定!$B$3),"{自分}",設定!$B$4),"{サービス}",設定!$B$5),"{料金}",設定!$B$7),"{日付1}",設定!$B$8),"{日付2}",設定!$B$9),"{時間1}",設定!$B$10),"{時間2}",設定!$B$11),"{時間}","（指定時間）"),"{日付確定}","（確定日）"),"{時間確定}","（確定時間）")</f>
        <v/>
      </c>
      <c r="J15" s="1" t="str">
        <f>IFERROR(VLOOKUP(P15,スクリプト_フロー!$A:$F,4,FALSE),"")</f>
        <v/>
      </c>
      <c r="K15" s="6" t="s">
        <v>35</v>
      </c>
      <c r="L15" s="6"/>
      <c r="M15" s="6"/>
      <c r="N15" s="6"/>
      <c r="O15" s="1"/>
      <c r="P15" s="1" t="str">
        <f t="shared" si="0"/>
        <v>①架電|</v>
      </c>
      <c r="Q15" s="1" t="str">
        <f>IFERROR(VLOOKUP(P15,スクリプト_フロー!$A:$F,5,FALSE),"")</f>
        <v/>
      </c>
      <c r="R15" s="6" t="str">
        <f t="shared" si="8"/>
        <v/>
      </c>
      <c r="S15" s="6"/>
      <c r="T15" s="4" t="str">
        <f>IF(DA15="","",SUBSTITUTE(SUBSTITUTE(SUBSTITUTE(SUBSTITUTE(SUBSTITUTE(SUBSTITUTE(SUBSTITUTE(SUBSTITUTE(SUBSTITUTE(SUBSTITUTE(SUBSTITUTE(DA15,"{会社}",設定!$B$3),"{自分}",設定!$B$4),"{サービス}",設定!$B$5),"{料金}",設定!$B$7),"{日付1}",設定!$B$8),"{日付2}",設定!$B$9),"{時間1}",設定!$B$10),"{時間2}",設定!$B$11),"{時間}","（指定時間）"),"{日付確定}","（確定日）"),"{時間確定}","（確定時間）"))</f>
        <v/>
      </c>
      <c r="U15" s="1" t="str">
        <f>IFERROR(VLOOKUP(CZ15,スクリプト_フロー!$A:$F,4,FALSE),"")</f>
        <v/>
      </c>
      <c r="V15" s="6" t="str">
        <f t="shared" si="1"/>
        <v/>
      </c>
      <c r="W15" s="6"/>
      <c r="X15" s="4" t="str">
        <f>IF(DC15="","",SUBSTITUTE(SUBSTITUTE(SUBSTITUTE(SUBSTITUTE(SUBSTITUTE(SUBSTITUTE(SUBSTITUTE(SUBSTITUTE(SUBSTITUTE(SUBSTITUTE(SUBSTITUTE(DC15,"{会社}",設定!$B$3),"{自分}",設定!$B$4),"{サービス}",設定!$B$5),"{料金}",設定!$B$7),"{日付1}",設定!$B$8),"{日付2}",設定!$B$9),"{時間1}",設定!$B$10),"{時間2}",設定!$B$11),"{時間}","（指定時間）"),"{日付確定}","（確定日）"),"{時間確定}","（確定時間）"))</f>
        <v/>
      </c>
      <c r="Y15" s="1" t="str">
        <f>IFERROR(VLOOKUP(DB15,スクリプト_フロー!$A:$F,4,FALSE),"")</f>
        <v/>
      </c>
      <c r="Z15" s="6" t="str">
        <f t="shared" si="2"/>
        <v/>
      </c>
      <c r="AA15" s="6" t="s">
        <v>95</v>
      </c>
      <c r="AB15" s="4" t="str">
        <f>IF(DE15="","",SUBSTITUTE(SUBSTITUTE(SUBSTITUTE(SUBSTITUTE(SUBSTITUTE(SUBSTITUTE(SUBSTITUTE(SUBSTITUTE(SUBSTITUTE(SUBSTITUTE(SUBSTITUTE(DE15,"{会社}",設定!$B$3),"{自分}",設定!$B$4),"{サービス}",設定!$B$5),"{料金}",設定!$B$7),"{日付1}",設定!$B$8),"{日付2}",設定!$B$9),"{時間1}",設定!$B$10),"{時間2}",設定!$B$11),"{時間}","（指定時間）"),"{日付確定}","（確定日）"),"{時間確定}","（確定時間）"))</f>
        <v/>
      </c>
      <c r="AC15" s="1" t="str">
        <f>IFERROR(VLOOKUP(DD15,スクリプト_フロー!$A:$F,4,FALSE),"")</f>
        <v/>
      </c>
      <c r="AD15" s="6" t="str">
        <f t="shared" si="3"/>
        <v/>
      </c>
      <c r="AE15" s="6" t="s">
        <v>96</v>
      </c>
      <c r="AF15" s="4" t="str">
        <f>IF(DG15="","",SUBSTITUTE(SUBSTITUTE(SUBSTITUTE(SUBSTITUTE(SUBSTITUTE(SUBSTITUTE(SUBSTITUTE(SUBSTITUTE(SUBSTITUTE(SUBSTITUTE(SUBSTITUTE(DG15,"{会社}",設定!$B$3),"{自分}",設定!$B$4),"{サービス}",設定!$B$5),"{料金}",設定!$B$7),"{日付1}",設定!$B$8),"{日付2}",設定!$B$9),"{時間1}",設定!$B$10),"{時間2}",設定!$B$11),"{時間}","（指定時間）"),"{日付確定}","（確定日）"),"{時間確定}","（確定時間）"))</f>
        <v/>
      </c>
      <c r="AG15" s="1" t="str">
        <f>IFERROR(VLOOKUP(DF15,スクリプト_フロー!$A:$F,4,FALSE),"")</f>
        <v/>
      </c>
      <c r="CZ15" s="1" t="str">
        <f t="shared" si="4"/>
        <v>|</v>
      </c>
      <c r="DA15" s="1" t="str">
        <f>IFERROR(VLOOKUP(CZ15,スクリプト_フロー!$A:$F,5,FALSE),"")</f>
        <v/>
      </c>
      <c r="DB15" s="1" t="str">
        <f t="shared" si="5"/>
        <v>|</v>
      </c>
      <c r="DC15" s="1" t="str">
        <f>IFERROR(VLOOKUP(DB15,スクリプト_フロー!$A:$F,5,FALSE),"")</f>
        <v/>
      </c>
      <c r="DD15" s="1" t="str">
        <f t="shared" si="6"/>
        <v>|⑬クロージング</v>
      </c>
      <c r="DE15" s="1" t="str">
        <f>IFERROR(VLOOKUP(DD15,スクリプト_フロー!$A:$F,5,FALSE),"")</f>
        <v/>
      </c>
      <c r="DF15" s="1" t="str">
        <f t="shared" si="7"/>
        <v>|RESPX_014</v>
      </c>
      <c r="DG15" s="1" t="str">
        <f>IFERROR(VLOOKUP(DF15,スクリプト_フロー!$A:$F,5,FALSE),"")</f>
        <v/>
      </c>
    </row>
    <row r="16" spans="1:111" ht="21">
      <c r="A16" s="1">
        <v>15</v>
      </c>
      <c r="B16" s="1" t="s">
        <v>97</v>
      </c>
      <c r="C16" s="1" t="s">
        <v>98</v>
      </c>
      <c r="D16" s="1" t="s">
        <v>94</v>
      </c>
      <c r="E16" s="6"/>
      <c r="F16" s="6"/>
      <c r="G16" s="6" t="s">
        <v>34</v>
      </c>
      <c r="H16" s="6"/>
      <c r="I16" s="4" t="str">
        <f>SUBSTITUTE(SUBSTITUTE(SUBSTITUTE(SUBSTITUTE(SUBSTITUTE(SUBSTITUTE(SUBSTITUTE(SUBSTITUTE(SUBSTITUTE(SUBSTITUTE(SUBSTITUTE(Q16,"{会社}",設定!$B$3),"{自分}",設定!$B$4),"{サービス}",設定!$B$5),"{料金}",設定!$B$7),"{日付1}",設定!$B$8),"{日付2}",設定!$B$9),"{時間1}",設定!$B$10),"{時間2}",設定!$B$11),"{時間}","（指定時間）"),"{日付確定}","（確定日）"),"{時間確定}","（確定時間）")</f>
        <v/>
      </c>
      <c r="J16" s="1" t="str">
        <f>IFERROR(VLOOKUP(P16,スクリプト_フロー!$A:$F,4,FALSE),"")</f>
        <v/>
      </c>
      <c r="K16" s="6" t="s">
        <v>35</v>
      </c>
      <c r="L16" s="6"/>
      <c r="M16" s="6"/>
      <c r="N16" s="6"/>
      <c r="O16" s="1"/>
      <c r="P16" s="1" t="str">
        <f t="shared" si="0"/>
        <v>①架電|</v>
      </c>
      <c r="Q16" s="1" t="str">
        <f>IFERROR(VLOOKUP(P16,スクリプト_フロー!$A:$F,5,FALSE),"")</f>
        <v/>
      </c>
      <c r="R16" s="6" t="str">
        <f t="shared" si="8"/>
        <v/>
      </c>
      <c r="S16" s="6"/>
      <c r="T16" s="4" t="str">
        <f>IF(DA16="","",SUBSTITUTE(SUBSTITUTE(SUBSTITUTE(SUBSTITUTE(SUBSTITUTE(SUBSTITUTE(SUBSTITUTE(SUBSTITUTE(SUBSTITUTE(SUBSTITUTE(SUBSTITUTE(DA16,"{会社}",設定!$B$3),"{自分}",設定!$B$4),"{サービス}",設定!$B$5),"{料金}",設定!$B$7),"{日付1}",設定!$B$8),"{日付2}",設定!$B$9),"{時間1}",設定!$B$10),"{時間2}",設定!$B$11),"{時間}","（指定時間）"),"{日付確定}","（確定日）"),"{時間確定}","（確定時間）"))</f>
        <v/>
      </c>
      <c r="U16" s="1" t="str">
        <f>IFERROR(VLOOKUP(CZ16,スクリプト_フロー!$A:$F,4,FALSE),"")</f>
        <v/>
      </c>
      <c r="V16" s="6" t="str">
        <f t="shared" si="1"/>
        <v/>
      </c>
      <c r="W16" s="6"/>
      <c r="X16" s="4" t="str">
        <f>IF(DC16="","",SUBSTITUTE(SUBSTITUTE(SUBSTITUTE(SUBSTITUTE(SUBSTITUTE(SUBSTITUTE(SUBSTITUTE(SUBSTITUTE(SUBSTITUTE(SUBSTITUTE(SUBSTITUTE(DC16,"{会社}",設定!$B$3),"{自分}",設定!$B$4),"{サービス}",設定!$B$5),"{料金}",設定!$B$7),"{日付1}",設定!$B$8),"{日付2}",設定!$B$9),"{時間1}",設定!$B$10),"{時間2}",設定!$B$11),"{時間}","（指定時間）"),"{日付確定}","（確定日）"),"{時間確定}","（確定時間）"))</f>
        <v/>
      </c>
      <c r="Y16" s="1" t="str">
        <f>IFERROR(VLOOKUP(DB16,スクリプト_フロー!$A:$F,4,FALSE),"")</f>
        <v/>
      </c>
      <c r="Z16" s="6" t="str">
        <f t="shared" si="2"/>
        <v/>
      </c>
      <c r="AA16" s="6" t="s">
        <v>99</v>
      </c>
      <c r="AB16" s="4" t="str">
        <f>IF(DE16="","",SUBSTITUTE(SUBSTITUTE(SUBSTITUTE(SUBSTITUTE(SUBSTITUTE(SUBSTITUTE(SUBSTITUTE(SUBSTITUTE(SUBSTITUTE(SUBSTITUTE(SUBSTITUTE(DE16,"{会社}",設定!$B$3),"{自分}",設定!$B$4),"{サービス}",設定!$B$5),"{料金}",設定!$B$7),"{日付1}",設定!$B$8),"{日付2}",設定!$B$9),"{時間1}",設定!$B$10),"{時間2}",設定!$B$11),"{時間}","（指定時間）"),"{日付確定}","（確定日）"),"{時間確定}","（確定時間）"))</f>
        <v/>
      </c>
      <c r="AC16" s="1" t="str">
        <f>IFERROR(VLOOKUP(DD16,スクリプト_フロー!$A:$F,4,FALSE),"")</f>
        <v/>
      </c>
      <c r="AD16" s="6" t="str">
        <f t="shared" si="3"/>
        <v/>
      </c>
      <c r="AE16" s="6" t="s">
        <v>100</v>
      </c>
      <c r="AF16" s="4" t="str">
        <f>IF(DG16="","",SUBSTITUTE(SUBSTITUTE(SUBSTITUTE(SUBSTITUTE(SUBSTITUTE(SUBSTITUTE(SUBSTITUTE(SUBSTITUTE(SUBSTITUTE(SUBSTITUTE(SUBSTITUTE(DG16,"{会社}",設定!$B$3),"{自分}",設定!$B$4),"{サービス}",設定!$B$5),"{料金}",設定!$B$7),"{日付1}",設定!$B$8),"{日付2}",設定!$B$9),"{時間1}",設定!$B$10),"{時間2}",設定!$B$11),"{時間}","（指定時間）"),"{日付確定}","（確定日）"),"{時間確定}","（確定時間）"))</f>
        <v/>
      </c>
      <c r="AG16" s="1" t="str">
        <f>IFERROR(VLOOKUP(DF16,スクリプト_フロー!$A:$F,4,FALSE),"")</f>
        <v/>
      </c>
      <c r="CZ16" s="1" t="str">
        <f t="shared" si="4"/>
        <v>|</v>
      </c>
      <c r="DA16" s="1" t="str">
        <f>IFERROR(VLOOKUP(CZ16,スクリプト_フロー!$A:$F,5,FALSE),"")</f>
        <v/>
      </c>
      <c r="DB16" s="1" t="str">
        <f t="shared" si="5"/>
        <v>|</v>
      </c>
      <c r="DC16" s="1" t="str">
        <f>IFERROR(VLOOKUP(DB16,スクリプト_フロー!$A:$F,5,FALSE),"")</f>
        <v/>
      </c>
      <c r="DD16" s="1" t="str">
        <f t="shared" si="6"/>
        <v>|⑭確定確認</v>
      </c>
      <c r="DE16" s="1" t="str">
        <f>IFERROR(VLOOKUP(DD16,スクリプト_フロー!$A:$F,5,FALSE),"")</f>
        <v/>
      </c>
      <c r="DF16" s="1" t="str">
        <f t="shared" si="7"/>
        <v>|RESPX_015</v>
      </c>
      <c r="DG16" s="1" t="str">
        <f>IFERROR(VLOOKUP(DF16,スクリプト_フロー!$A:$F,5,FALSE),"")</f>
        <v/>
      </c>
    </row>
    <row r="17" spans="1:111" ht="21">
      <c r="A17" s="1">
        <v>16</v>
      </c>
      <c r="B17" s="1" t="s">
        <v>101</v>
      </c>
      <c r="C17" s="1" t="s">
        <v>102</v>
      </c>
      <c r="D17" s="1" t="s">
        <v>103</v>
      </c>
      <c r="E17" s="6"/>
      <c r="F17" s="6"/>
      <c r="G17" s="6" t="s">
        <v>34</v>
      </c>
      <c r="H17" s="6"/>
      <c r="I17" s="4" t="str">
        <f>SUBSTITUTE(SUBSTITUTE(SUBSTITUTE(SUBSTITUTE(SUBSTITUTE(SUBSTITUTE(SUBSTITUTE(SUBSTITUTE(SUBSTITUTE(SUBSTITUTE(SUBSTITUTE(Q17,"{会社}",設定!$B$3),"{自分}",設定!$B$4),"{サービス}",設定!$B$5),"{料金}",設定!$B$7),"{日付1}",設定!$B$8),"{日付2}",設定!$B$9),"{時間1}",設定!$B$10),"{時間2}",設定!$B$11),"{時間}","（指定時間）"),"{日付確定}","（確定日）"),"{時間確定}","（確定時間）")</f>
        <v/>
      </c>
      <c r="J17" s="1" t="str">
        <f>IFERROR(VLOOKUP(P17,スクリプト_フロー!$A:$F,4,FALSE),"")</f>
        <v/>
      </c>
      <c r="K17" s="6" t="s">
        <v>35</v>
      </c>
      <c r="L17" s="6"/>
      <c r="M17" s="6"/>
      <c r="N17" s="6"/>
      <c r="O17" s="1"/>
      <c r="P17" s="1" t="str">
        <f t="shared" si="0"/>
        <v>①架電|</v>
      </c>
      <c r="Q17" s="1" t="str">
        <f>IFERROR(VLOOKUP(P17,スクリプト_フロー!$A:$F,5,FALSE),"")</f>
        <v/>
      </c>
      <c r="R17" s="6" t="str">
        <f t="shared" si="8"/>
        <v/>
      </c>
      <c r="S17" s="6"/>
      <c r="T17" s="4" t="str">
        <f>IF(DA17="","",SUBSTITUTE(SUBSTITUTE(SUBSTITUTE(SUBSTITUTE(SUBSTITUTE(SUBSTITUTE(SUBSTITUTE(SUBSTITUTE(SUBSTITUTE(SUBSTITUTE(SUBSTITUTE(DA17,"{会社}",設定!$B$3),"{自分}",設定!$B$4),"{サービス}",設定!$B$5),"{料金}",設定!$B$7),"{日付1}",設定!$B$8),"{日付2}",設定!$B$9),"{時間1}",設定!$B$10),"{時間2}",設定!$B$11),"{時間}","（指定時間）"),"{日付確定}","（確定日）"),"{時間確定}","（確定時間）"))</f>
        <v/>
      </c>
      <c r="U17" s="1" t="str">
        <f>IFERROR(VLOOKUP(CZ17,スクリプト_フロー!$A:$F,4,FALSE),"")</f>
        <v/>
      </c>
      <c r="V17" s="6" t="str">
        <f t="shared" si="1"/>
        <v/>
      </c>
      <c r="W17" s="6"/>
      <c r="X17" s="4" t="str">
        <f>IF(DC17="","",SUBSTITUTE(SUBSTITUTE(SUBSTITUTE(SUBSTITUTE(SUBSTITUTE(SUBSTITUTE(SUBSTITUTE(SUBSTITUTE(SUBSTITUTE(SUBSTITUTE(SUBSTITUTE(DC17,"{会社}",設定!$B$3),"{自分}",設定!$B$4),"{サービス}",設定!$B$5),"{料金}",設定!$B$7),"{日付1}",設定!$B$8),"{日付2}",設定!$B$9),"{時間1}",設定!$B$10),"{時間2}",設定!$B$11),"{時間}","（指定時間）"),"{日付確定}","（確定日）"),"{時間確定}","（確定時間）"))</f>
        <v/>
      </c>
      <c r="Y17" s="1" t="str">
        <f>IFERROR(VLOOKUP(DB17,スクリプト_フロー!$A:$F,4,FALSE),"")</f>
        <v/>
      </c>
      <c r="Z17" s="6" t="str">
        <f t="shared" si="2"/>
        <v/>
      </c>
      <c r="AA17" s="6" t="s">
        <v>104</v>
      </c>
      <c r="AB17" s="4" t="str">
        <f>IF(DE17="","",SUBSTITUTE(SUBSTITUTE(SUBSTITUTE(SUBSTITUTE(SUBSTITUTE(SUBSTITUTE(SUBSTITUTE(SUBSTITUTE(SUBSTITUTE(SUBSTITUTE(SUBSTITUTE(DE17,"{会社}",設定!$B$3),"{自分}",設定!$B$4),"{サービス}",設定!$B$5),"{料金}",設定!$B$7),"{日付1}",設定!$B$8),"{日付2}",設定!$B$9),"{時間1}",設定!$B$10),"{時間2}",設定!$B$11),"{時間}","（指定時間）"),"{日付確定}","（確定日）"),"{時間確定}","（確定時間）"))</f>
        <v/>
      </c>
      <c r="AC17" s="1" t="str">
        <f>IFERROR(VLOOKUP(DD17,スクリプト_フロー!$A:$F,4,FALSE),"")</f>
        <v/>
      </c>
      <c r="AD17" s="6" t="str">
        <f t="shared" si="3"/>
        <v/>
      </c>
      <c r="AE17" s="6" t="s">
        <v>105</v>
      </c>
      <c r="AF17" s="4" t="str">
        <f>IF(DG17="","",SUBSTITUTE(SUBSTITUTE(SUBSTITUTE(SUBSTITUTE(SUBSTITUTE(SUBSTITUTE(SUBSTITUTE(SUBSTITUTE(SUBSTITUTE(SUBSTITUTE(SUBSTITUTE(DG17,"{会社}",設定!$B$3),"{自分}",設定!$B$4),"{サービス}",設定!$B$5),"{料金}",設定!$B$7),"{日付1}",設定!$B$8),"{日付2}",設定!$B$9),"{時間1}",設定!$B$10),"{時間2}",設定!$B$11),"{時間}","（指定時間）"),"{日付確定}","（確定日）"),"{時間確定}","（確定時間）"))</f>
        <v/>
      </c>
      <c r="AG17" s="1" t="str">
        <f>IFERROR(VLOOKUP(DF17,スクリプト_フロー!$A:$F,4,FALSE),"")</f>
        <v/>
      </c>
      <c r="CZ17" s="1" t="str">
        <f t="shared" si="4"/>
        <v>|</v>
      </c>
      <c r="DA17" s="1" t="str">
        <f>IFERROR(VLOOKUP(CZ17,スクリプト_フロー!$A:$F,5,FALSE),"")</f>
        <v/>
      </c>
      <c r="DB17" s="1" t="str">
        <f t="shared" si="5"/>
        <v>|</v>
      </c>
      <c r="DC17" s="1" t="str">
        <f>IFERROR(VLOOKUP(DB17,スクリプト_フロー!$A:$F,5,FALSE),"")</f>
        <v/>
      </c>
      <c r="DD17" s="1" t="str">
        <f t="shared" si="6"/>
        <v>|⑮日程再調整</v>
      </c>
      <c r="DE17" s="1" t="str">
        <f>IFERROR(VLOOKUP(DD17,スクリプト_フロー!$A:$F,5,FALSE),"")</f>
        <v/>
      </c>
      <c r="DF17" s="1" t="str">
        <f t="shared" si="7"/>
        <v>|RESPX_016</v>
      </c>
      <c r="DG17" s="1" t="str">
        <f>IFERROR(VLOOKUP(DF17,スクリプト_フロー!$A:$F,5,FALSE),"")</f>
        <v/>
      </c>
    </row>
    <row r="18" spans="1:111" ht="21">
      <c r="A18" s="1">
        <v>17</v>
      </c>
      <c r="B18" s="1" t="s">
        <v>106</v>
      </c>
      <c r="C18" s="1" t="s">
        <v>107</v>
      </c>
      <c r="D18" s="1" t="s">
        <v>108</v>
      </c>
      <c r="E18" s="6"/>
      <c r="F18" s="6"/>
      <c r="G18" s="6" t="s">
        <v>34</v>
      </c>
      <c r="H18" s="6"/>
      <c r="I18" s="4" t="str">
        <f>SUBSTITUTE(SUBSTITUTE(SUBSTITUTE(SUBSTITUTE(SUBSTITUTE(SUBSTITUTE(SUBSTITUTE(SUBSTITUTE(SUBSTITUTE(SUBSTITUTE(SUBSTITUTE(Q18,"{会社}",設定!$B$3),"{自分}",設定!$B$4),"{サービス}",設定!$B$5),"{料金}",設定!$B$7),"{日付1}",設定!$B$8),"{日付2}",設定!$B$9),"{時間1}",設定!$B$10),"{時間2}",設定!$B$11),"{時間}","（指定時間）"),"{日付確定}","（確定日）"),"{時間確定}","（確定時間）")</f>
        <v/>
      </c>
      <c r="J18" s="1" t="str">
        <f>IFERROR(VLOOKUP(P18,スクリプト_フロー!$A:$F,4,FALSE),"")</f>
        <v/>
      </c>
      <c r="K18" s="6" t="s">
        <v>35</v>
      </c>
      <c r="L18" s="6"/>
      <c r="M18" s="6"/>
      <c r="N18" s="6"/>
      <c r="O18" s="1"/>
      <c r="P18" s="1" t="str">
        <f t="shared" si="0"/>
        <v>①架電|</v>
      </c>
      <c r="Q18" s="1" t="str">
        <f>IFERROR(VLOOKUP(P18,スクリプト_フロー!$A:$F,5,FALSE),"")</f>
        <v/>
      </c>
      <c r="R18" s="6" t="str">
        <f t="shared" si="8"/>
        <v/>
      </c>
      <c r="S18" s="6"/>
      <c r="T18" s="4" t="str">
        <f>IF(DA18="","",SUBSTITUTE(SUBSTITUTE(SUBSTITUTE(SUBSTITUTE(SUBSTITUTE(SUBSTITUTE(SUBSTITUTE(SUBSTITUTE(SUBSTITUTE(SUBSTITUTE(SUBSTITUTE(DA18,"{会社}",設定!$B$3),"{自分}",設定!$B$4),"{サービス}",設定!$B$5),"{料金}",設定!$B$7),"{日付1}",設定!$B$8),"{日付2}",設定!$B$9),"{時間1}",設定!$B$10),"{時間2}",設定!$B$11),"{時間}","（指定時間）"),"{日付確定}","（確定日）"),"{時間確定}","（確定時間）"))</f>
        <v/>
      </c>
      <c r="U18" s="1" t="str">
        <f>IFERROR(VLOOKUP(CZ18,スクリプト_フロー!$A:$F,4,FALSE),"")</f>
        <v/>
      </c>
      <c r="V18" s="6" t="str">
        <f t="shared" si="1"/>
        <v/>
      </c>
      <c r="W18" s="6"/>
      <c r="X18" s="4" t="str">
        <f>IF(DC18="","",SUBSTITUTE(SUBSTITUTE(SUBSTITUTE(SUBSTITUTE(SUBSTITUTE(SUBSTITUTE(SUBSTITUTE(SUBSTITUTE(SUBSTITUTE(SUBSTITUTE(SUBSTITUTE(DC18,"{会社}",設定!$B$3),"{自分}",設定!$B$4),"{サービス}",設定!$B$5),"{料金}",設定!$B$7),"{日付1}",設定!$B$8),"{日付2}",設定!$B$9),"{時間1}",設定!$B$10),"{時間2}",設定!$B$11),"{時間}","（指定時間）"),"{日付確定}","（確定日）"),"{時間確定}","（確定時間）"))</f>
        <v/>
      </c>
      <c r="Y18" s="1" t="str">
        <f>IFERROR(VLOOKUP(DB18,スクリプト_フロー!$A:$F,4,FALSE),"")</f>
        <v/>
      </c>
      <c r="Z18" s="6" t="str">
        <f t="shared" si="2"/>
        <v/>
      </c>
      <c r="AA18" s="6" t="s">
        <v>109</v>
      </c>
      <c r="AB18" s="4" t="str">
        <f>IF(DE18="","",SUBSTITUTE(SUBSTITUTE(SUBSTITUTE(SUBSTITUTE(SUBSTITUTE(SUBSTITUTE(SUBSTITUTE(SUBSTITUTE(SUBSTITUTE(SUBSTITUTE(SUBSTITUTE(DE18,"{会社}",設定!$B$3),"{自分}",設定!$B$4),"{サービス}",設定!$B$5),"{料金}",設定!$B$7),"{日付1}",設定!$B$8),"{日付2}",設定!$B$9),"{時間1}",設定!$B$10),"{時間2}",設定!$B$11),"{時間}","（指定時間）"),"{日付確定}","（確定日）"),"{時間確定}","（確定時間）"))</f>
        <v/>
      </c>
      <c r="AC18" s="1" t="str">
        <f>IFERROR(VLOOKUP(DD18,スクリプト_フロー!$A:$F,4,FALSE),"")</f>
        <v/>
      </c>
      <c r="AD18" s="6" t="str">
        <f t="shared" si="3"/>
        <v/>
      </c>
      <c r="AE18" s="6" t="s">
        <v>110</v>
      </c>
      <c r="AF18" s="4" t="str">
        <f>IF(DG18="","",SUBSTITUTE(SUBSTITUTE(SUBSTITUTE(SUBSTITUTE(SUBSTITUTE(SUBSTITUTE(SUBSTITUTE(SUBSTITUTE(SUBSTITUTE(SUBSTITUTE(SUBSTITUTE(DG18,"{会社}",設定!$B$3),"{自分}",設定!$B$4),"{サービス}",設定!$B$5),"{料金}",設定!$B$7),"{日付1}",設定!$B$8),"{日付2}",設定!$B$9),"{時間1}",設定!$B$10),"{時間2}",設定!$B$11),"{時間}","（指定時間）"),"{日付確定}","（確定日）"),"{時間確定}","（確定時間）"))</f>
        <v/>
      </c>
      <c r="AG18" s="1" t="str">
        <f>IFERROR(VLOOKUP(DF18,スクリプト_フロー!$A:$F,4,FALSE),"")</f>
        <v/>
      </c>
      <c r="CZ18" s="1" t="str">
        <f t="shared" si="4"/>
        <v>|</v>
      </c>
      <c r="DA18" s="1" t="str">
        <f>IFERROR(VLOOKUP(CZ18,スクリプト_フロー!$A:$F,5,FALSE),"")</f>
        <v/>
      </c>
      <c r="DB18" s="1" t="str">
        <f t="shared" si="5"/>
        <v>|</v>
      </c>
      <c r="DC18" s="1" t="str">
        <f>IFERROR(VLOOKUP(DB18,スクリプト_フロー!$A:$F,5,FALSE),"")</f>
        <v/>
      </c>
      <c r="DD18" s="1" t="str">
        <f t="shared" si="6"/>
        <v>|⑯再架電予定</v>
      </c>
      <c r="DE18" s="1" t="str">
        <f>IFERROR(VLOOKUP(DD18,スクリプト_フロー!$A:$F,5,FALSE),"")</f>
        <v/>
      </c>
      <c r="DF18" s="1" t="str">
        <f t="shared" si="7"/>
        <v>|RESPX_017</v>
      </c>
      <c r="DG18" s="1" t="str">
        <f>IFERROR(VLOOKUP(DF18,スクリプト_フロー!$A:$F,5,FALSE),"")</f>
        <v/>
      </c>
    </row>
    <row r="19" spans="1:111" ht="21">
      <c r="A19" s="1">
        <v>18</v>
      </c>
      <c r="B19" s="1" t="s">
        <v>111</v>
      </c>
      <c r="C19" s="1" t="s">
        <v>112</v>
      </c>
      <c r="D19" s="1" t="s">
        <v>108</v>
      </c>
      <c r="E19" s="6"/>
      <c r="F19" s="6"/>
      <c r="G19" s="6" t="s">
        <v>34</v>
      </c>
      <c r="H19" s="6"/>
      <c r="I19" s="4" t="str">
        <f>SUBSTITUTE(SUBSTITUTE(SUBSTITUTE(SUBSTITUTE(SUBSTITUTE(SUBSTITUTE(SUBSTITUTE(SUBSTITUTE(SUBSTITUTE(SUBSTITUTE(SUBSTITUTE(Q19,"{会社}",設定!$B$3),"{自分}",設定!$B$4),"{サービス}",設定!$B$5),"{料金}",設定!$B$7),"{日付1}",設定!$B$8),"{日付2}",設定!$B$9),"{時間1}",設定!$B$10),"{時間2}",設定!$B$11),"{時間}","（指定時間）"),"{日付確定}","（確定日）"),"{時間確定}","（確定時間）")</f>
        <v/>
      </c>
      <c r="J19" s="1" t="str">
        <f>IFERROR(VLOOKUP(P19,スクリプト_フロー!$A:$F,4,FALSE),"")</f>
        <v/>
      </c>
      <c r="K19" s="6" t="s">
        <v>35</v>
      </c>
      <c r="L19" s="6"/>
      <c r="M19" s="6"/>
      <c r="N19" s="6"/>
      <c r="O19" s="1"/>
      <c r="P19" s="1" t="str">
        <f t="shared" si="0"/>
        <v>①架電|</v>
      </c>
      <c r="Q19" s="1" t="str">
        <f>IFERROR(VLOOKUP(P19,スクリプト_フロー!$A:$F,5,FALSE),"")</f>
        <v/>
      </c>
      <c r="R19" s="6" t="str">
        <f t="shared" si="8"/>
        <v/>
      </c>
      <c r="S19" s="6"/>
      <c r="T19" s="4" t="str">
        <f>IF(DA19="","",SUBSTITUTE(SUBSTITUTE(SUBSTITUTE(SUBSTITUTE(SUBSTITUTE(SUBSTITUTE(SUBSTITUTE(SUBSTITUTE(SUBSTITUTE(SUBSTITUTE(SUBSTITUTE(DA19,"{会社}",設定!$B$3),"{自分}",設定!$B$4),"{サービス}",設定!$B$5),"{料金}",設定!$B$7),"{日付1}",設定!$B$8),"{日付2}",設定!$B$9),"{時間1}",設定!$B$10),"{時間2}",設定!$B$11),"{時間}","（指定時間）"),"{日付確定}","（確定日）"),"{時間確定}","（確定時間）"))</f>
        <v/>
      </c>
      <c r="U19" s="1" t="str">
        <f>IFERROR(VLOOKUP(CZ19,スクリプト_フロー!$A:$F,4,FALSE),"")</f>
        <v/>
      </c>
      <c r="V19" s="6" t="str">
        <f t="shared" si="1"/>
        <v/>
      </c>
      <c r="W19" s="6"/>
      <c r="X19" s="4" t="str">
        <f>IF(DC19="","",SUBSTITUTE(SUBSTITUTE(SUBSTITUTE(SUBSTITUTE(SUBSTITUTE(SUBSTITUTE(SUBSTITUTE(SUBSTITUTE(SUBSTITUTE(SUBSTITUTE(SUBSTITUTE(DC19,"{会社}",設定!$B$3),"{自分}",設定!$B$4),"{サービス}",設定!$B$5),"{料金}",設定!$B$7),"{日付1}",設定!$B$8),"{日付2}",設定!$B$9),"{時間1}",設定!$B$10),"{時間2}",設定!$B$11),"{時間}","（指定時間）"),"{日付確定}","（確定日）"),"{時間確定}","（確定時間）"))</f>
        <v/>
      </c>
      <c r="Y19" s="1" t="str">
        <f>IFERROR(VLOOKUP(DB19,スクリプト_フロー!$A:$F,4,FALSE),"")</f>
        <v/>
      </c>
      <c r="Z19" s="6" t="str">
        <f t="shared" si="2"/>
        <v/>
      </c>
      <c r="AA19" s="6" t="s">
        <v>113</v>
      </c>
      <c r="AB19" s="4" t="str">
        <f>IF(DE19="","",SUBSTITUTE(SUBSTITUTE(SUBSTITUTE(SUBSTITUTE(SUBSTITUTE(SUBSTITUTE(SUBSTITUTE(SUBSTITUTE(SUBSTITUTE(SUBSTITUTE(SUBSTITUTE(DE19,"{会社}",設定!$B$3),"{自分}",設定!$B$4),"{サービス}",設定!$B$5),"{料金}",設定!$B$7),"{日付1}",設定!$B$8),"{日付2}",設定!$B$9),"{時間1}",設定!$B$10),"{時間2}",設定!$B$11),"{時間}","（指定時間）"),"{日付確定}","（確定日）"),"{時間確定}","（確定時間）"))</f>
        <v/>
      </c>
      <c r="AC19" s="1" t="str">
        <f>IFERROR(VLOOKUP(DD19,スクリプト_フロー!$A:$F,4,FALSE),"")</f>
        <v/>
      </c>
      <c r="AD19" s="6" t="str">
        <f t="shared" si="3"/>
        <v/>
      </c>
      <c r="AE19" s="6" t="s">
        <v>114</v>
      </c>
      <c r="AF19" s="4" t="str">
        <f>IF(DG19="","",SUBSTITUTE(SUBSTITUTE(SUBSTITUTE(SUBSTITUTE(SUBSTITUTE(SUBSTITUTE(SUBSTITUTE(SUBSTITUTE(SUBSTITUTE(SUBSTITUTE(SUBSTITUTE(DG19,"{会社}",設定!$B$3),"{自分}",設定!$B$4),"{サービス}",設定!$B$5),"{料金}",設定!$B$7),"{日付1}",設定!$B$8),"{日付2}",設定!$B$9),"{時間1}",設定!$B$10),"{時間2}",設定!$B$11),"{時間}","（指定時間）"),"{日付確定}","（確定日）"),"{時間確定}","（確定時間）"))</f>
        <v/>
      </c>
      <c r="AG19" s="1" t="str">
        <f>IFERROR(VLOOKUP(DF19,スクリプト_フロー!$A:$F,4,FALSE),"")</f>
        <v/>
      </c>
      <c r="CZ19" s="1" t="str">
        <f t="shared" si="4"/>
        <v>|</v>
      </c>
      <c r="DA19" s="1" t="str">
        <f>IFERROR(VLOOKUP(CZ19,スクリプト_フロー!$A:$F,5,FALSE),"")</f>
        <v/>
      </c>
      <c r="DB19" s="1" t="str">
        <f t="shared" si="5"/>
        <v>|</v>
      </c>
      <c r="DC19" s="1" t="str">
        <f>IFERROR(VLOOKUP(DB19,スクリプト_フロー!$A:$F,5,FALSE),"")</f>
        <v/>
      </c>
      <c r="DD19" s="1" t="str">
        <f t="shared" si="6"/>
        <v>|⑰送付完了</v>
      </c>
      <c r="DE19" s="1" t="str">
        <f>IFERROR(VLOOKUP(DD19,スクリプト_フロー!$A:$F,5,FALSE),"")</f>
        <v/>
      </c>
      <c r="DF19" s="1" t="str">
        <f t="shared" si="7"/>
        <v>|RESPX_018</v>
      </c>
      <c r="DG19" s="1" t="str">
        <f>IFERROR(VLOOKUP(DF19,スクリプト_フロー!$A:$F,5,FALSE),"")</f>
        <v/>
      </c>
    </row>
    <row r="20" spans="1:111" ht="21">
      <c r="A20" s="1">
        <v>19</v>
      </c>
      <c r="B20" s="1" t="s">
        <v>115</v>
      </c>
      <c r="C20" s="1" t="s">
        <v>116</v>
      </c>
      <c r="D20" s="1" t="s">
        <v>117</v>
      </c>
      <c r="E20" s="6"/>
      <c r="F20" s="6"/>
      <c r="G20" s="6" t="s">
        <v>34</v>
      </c>
      <c r="H20" s="6"/>
      <c r="I20" s="4" t="str">
        <f>SUBSTITUTE(SUBSTITUTE(SUBSTITUTE(SUBSTITUTE(SUBSTITUTE(SUBSTITUTE(SUBSTITUTE(SUBSTITUTE(SUBSTITUTE(SUBSTITUTE(SUBSTITUTE(Q20,"{会社}",設定!$B$3),"{自分}",設定!$B$4),"{サービス}",設定!$B$5),"{料金}",設定!$B$7),"{日付1}",設定!$B$8),"{日付2}",設定!$B$9),"{時間1}",設定!$B$10),"{時間2}",設定!$B$11),"{時間}","（指定時間）"),"{日付確定}","（確定日）"),"{時間確定}","（確定時間）")</f>
        <v/>
      </c>
      <c r="J20" s="1" t="str">
        <f>IFERROR(VLOOKUP(P20,スクリプト_フロー!$A:$F,4,FALSE),"")</f>
        <v/>
      </c>
      <c r="K20" s="6" t="s">
        <v>35</v>
      </c>
      <c r="L20" s="6"/>
      <c r="M20" s="6"/>
      <c r="N20" s="6"/>
      <c r="O20" s="1"/>
      <c r="P20" s="1" t="str">
        <f t="shared" si="0"/>
        <v>①架電|</v>
      </c>
      <c r="Q20" s="1" t="str">
        <f>IFERROR(VLOOKUP(P20,スクリプト_フロー!$A:$F,5,FALSE),"")</f>
        <v/>
      </c>
      <c r="R20" s="6" t="str">
        <f t="shared" si="8"/>
        <v/>
      </c>
      <c r="S20" s="6"/>
      <c r="T20" s="4" t="str">
        <f>IF(DA20="","",SUBSTITUTE(SUBSTITUTE(SUBSTITUTE(SUBSTITUTE(SUBSTITUTE(SUBSTITUTE(SUBSTITUTE(SUBSTITUTE(SUBSTITUTE(SUBSTITUTE(SUBSTITUTE(DA20,"{会社}",設定!$B$3),"{自分}",設定!$B$4),"{サービス}",設定!$B$5),"{料金}",設定!$B$7),"{日付1}",設定!$B$8),"{日付2}",設定!$B$9),"{時間1}",設定!$B$10),"{時間2}",設定!$B$11),"{時間}","（指定時間）"),"{日付確定}","（確定日）"),"{時間確定}","（確定時間）"))</f>
        <v/>
      </c>
      <c r="U20" s="1" t="str">
        <f>IFERROR(VLOOKUP(CZ20,スクリプト_フロー!$A:$F,4,FALSE),"")</f>
        <v/>
      </c>
      <c r="V20" s="6" t="str">
        <f t="shared" si="1"/>
        <v/>
      </c>
      <c r="W20" s="6"/>
      <c r="X20" s="4" t="str">
        <f>IF(DC20="","",SUBSTITUTE(SUBSTITUTE(SUBSTITUTE(SUBSTITUTE(SUBSTITUTE(SUBSTITUTE(SUBSTITUTE(SUBSTITUTE(SUBSTITUTE(SUBSTITUTE(SUBSTITUTE(DC20,"{会社}",設定!$B$3),"{自分}",設定!$B$4),"{サービス}",設定!$B$5),"{料金}",設定!$B$7),"{日付1}",設定!$B$8),"{日付2}",設定!$B$9),"{時間1}",設定!$B$10),"{時間2}",設定!$B$11),"{時間}","（指定時間）"),"{日付確定}","（確定日）"),"{時間確定}","（確定時間）"))</f>
        <v/>
      </c>
      <c r="Y20" s="1" t="str">
        <f>IFERROR(VLOOKUP(DB20,スクリプト_フロー!$A:$F,4,FALSE),"")</f>
        <v/>
      </c>
      <c r="Z20" s="6" t="str">
        <f t="shared" si="2"/>
        <v/>
      </c>
      <c r="AA20" s="6" t="s">
        <v>118</v>
      </c>
      <c r="AB20" s="4" t="str">
        <f>IF(DE20="","",SUBSTITUTE(SUBSTITUTE(SUBSTITUTE(SUBSTITUTE(SUBSTITUTE(SUBSTITUTE(SUBSTITUTE(SUBSTITUTE(SUBSTITUTE(SUBSTITUTE(SUBSTITUTE(DE20,"{会社}",設定!$B$3),"{自分}",設定!$B$4),"{サービス}",設定!$B$5),"{料金}",設定!$B$7),"{日付1}",設定!$B$8),"{日付2}",設定!$B$9),"{時間1}",設定!$B$10),"{時間2}",設定!$B$11),"{時間}","（指定時間）"),"{日付確定}","（確定日）"),"{時間確定}","（確定時間）"))</f>
        <v/>
      </c>
      <c r="AC20" s="1" t="str">
        <f>IFERROR(VLOOKUP(DD20,スクリプト_フロー!$A:$F,4,FALSE),"")</f>
        <v/>
      </c>
      <c r="AD20" s="6" t="str">
        <f t="shared" si="3"/>
        <v/>
      </c>
      <c r="AE20" s="6" t="s">
        <v>119</v>
      </c>
      <c r="AF20" s="4" t="str">
        <f>IF(DG20="","",SUBSTITUTE(SUBSTITUTE(SUBSTITUTE(SUBSTITUTE(SUBSTITUTE(SUBSTITUTE(SUBSTITUTE(SUBSTITUTE(SUBSTITUTE(SUBSTITUTE(SUBSTITUTE(DG20,"{会社}",設定!$B$3),"{自分}",設定!$B$4),"{サービス}",設定!$B$5),"{料金}",設定!$B$7),"{日付1}",設定!$B$8),"{日付2}",設定!$B$9),"{時間1}",設定!$B$10),"{時間2}",設定!$B$11),"{時間}","（指定時間）"),"{日付確定}","（確定日）"),"{時間確定}","（確定時間）"))</f>
        <v/>
      </c>
      <c r="AG20" s="1" t="str">
        <f>IFERROR(VLOOKUP(DF20,スクリプト_フロー!$A:$F,4,FALSE),"")</f>
        <v/>
      </c>
      <c r="CZ20" s="1" t="str">
        <f t="shared" si="4"/>
        <v>|</v>
      </c>
      <c r="DA20" s="1" t="str">
        <f>IFERROR(VLOOKUP(CZ20,スクリプト_フロー!$A:$F,5,FALSE),"")</f>
        <v/>
      </c>
      <c r="DB20" s="1" t="str">
        <f t="shared" si="5"/>
        <v>|</v>
      </c>
      <c r="DC20" s="1" t="str">
        <f>IFERROR(VLOOKUP(DB20,スクリプト_フロー!$A:$F,5,FALSE),"")</f>
        <v/>
      </c>
      <c r="DD20" s="1" t="str">
        <f t="shared" si="6"/>
        <v>|⑱丁寧終了</v>
      </c>
      <c r="DE20" s="1" t="str">
        <f>IFERROR(VLOOKUP(DD20,スクリプト_フロー!$A:$F,5,FALSE),"")</f>
        <v/>
      </c>
      <c r="DF20" s="1" t="str">
        <f t="shared" si="7"/>
        <v>|RESPX_019</v>
      </c>
      <c r="DG20" s="1" t="str">
        <f>IFERROR(VLOOKUP(DF20,スクリプト_フロー!$A:$F,5,FALSE),"")</f>
        <v/>
      </c>
    </row>
    <row r="21" spans="1:111" ht="21">
      <c r="A21" s="1">
        <v>20</v>
      </c>
      <c r="B21" s="1" t="s">
        <v>120</v>
      </c>
      <c r="C21" s="1" t="s">
        <v>121</v>
      </c>
      <c r="D21" s="1" t="s">
        <v>122</v>
      </c>
      <c r="E21" s="6"/>
      <c r="F21" s="6"/>
      <c r="G21" s="6" t="s">
        <v>34</v>
      </c>
      <c r="H21" s="6"/>
      <c r="I21" s="4" t="str">
        <f>SUBSTITUTE(SUBSTITUTE(SUBSTITUTE(SUBSTITUTE(SUBSTITUTE(SUBSTITUTE(SUBSTITUTE(SUBSTITUTE(SUBSTITUTE(SUBSTITUTE(SUBSTITUTE(Q21,"{会社}",設定!$B$3),"{自分}",設定!$B$4),"{サービス}",設定!$B$5),"{料金}",設定!$B$7),"{日付1}",設定!$B$8),"{日付2}",設定!$B$9),"{時間1}",設定!$B$10),"{時間2}",設定!$B$11),"{時間}","（指定時間）"),"{日付確定}","（確定日）"),"{時間確定}","（確定時間）")</f>
        <v/>
      </c>
      <c r="J21" s="1" t="str">
        <f>IFERROR(VLOOKUP(P21,スクリプト_フロー!$A:$F,4,FALSE),"")</f>
        <v/>
      </c>
      <c r="K21" s="6" t="s">
        <v>35</v>
      </c>
      <c r="L21" s="6"/>
      <c r="M21" s="6"/>
      <c r="N21" s="6"/>
      <c r="O21" s="1"/>
      <c r="P21" s="1" t="str">
        <f t="shared" si="0"/>
        <v>①架電|</v>
      </c>
      <c r="Q21" s="1" t="str">
        <f>IFERROR(VLOOKUP(P21,スクリプト_フロー!$A:$F,5,FALSE),"")</f>
        <v/>
      </c>
      <c r="R21" s="6" t="str">
        <f t="shared" si="8"/>
        <v/>
      </c>
      <c r="S21" s="6"/>
      <c r="T21" s="4" t="str">
        <f>IF(DA21="","",SUBSTITUTE(SUBSTITUTE(SUBSTITUTE(SUBSTITUTE(SUBSTITUTE(SUBSTITUTE(SUBSTITUTE(SUBSTITUTE(SUBSTITUTE(SUBSTITUTE(SUBSTITUTE(DA21,"{会社}",設定!$B$3),"{自分}",設定!$B$4),"{サービス}",設定!$B$5),"{料金}",設定!$B$7),"{日付1}",設定!$B$8),"{日付2}",設定!$B$9),"{時間1}",設定!$B$10),"{時間2}",設定!$B$11),"{時間}","（指定時間）"),"{日付確定}","（確定日）"),"{時間確定}","（確定時間）"))</f>
        <v/>
      </c>
      <c r="U21" s="1" t="str">
        <f>IFERROR(VLOOKUP(CZ21,スクリプト_フロー!$A:$F,4,FALSE),"")</f>
        <v/>
      </c>
      <c r="V21" s="6" t="str">
        <f t="shared" si="1"/>
        <v/>
      </c>
      <c r="W21" s="6"/>
      <c r="X21" s="4" t="str">
        <f>IF(DC21="","",SUBSTITUTE(SUBSTITUTE(SUBSTITUTE(SUBSTITUTE(SUBSTITUTE(SUBSTITUTE(SUBSTITUTE(SUBSTITUTE(SUBSTITUTE(SUBSTITUTE(SUBSTITUTE(DC21,"{会社}",設定!$B$3),"{自分}",設定!$B$4),"{サービス}",設定!$B$5),"{料金}",設定!$B$7),"{日付1}",設定!$B$8),"{日付2}",設定!$B$9),"{時間1}",設定!$B$10),"{時間2}",設定!$B$11),"{時間}","（指定時間）"),"{日付確定}","（確定日）"),"{時間確定}","（確定時間）"))</f>
        <v/>
      </c>
      <c r="Y21" s="1" t="str">
        <f>IFERROR(VLOOKUP(DB21,スクリプト_フロー!$A:$F,4,FALSE),"")</f>
        <v/>
      </c>
      <c r="Z21" s="6" t="str">
        <f t="shared" si="2"/>
        <v/>
      </c>
      <c r="AA21" s="6"/>
      <c r="AB21" s="4" t="str">
        <f>IF(DE21="","",SUBSTITUTE(SUBSTITUTE(SUBSTITUTE(SUBSTITUTE(SUBSTITUTE(SUBSTITUTE(SUBSTITUTE(SUBSTITUTE(SUBSTITUTE(SUBSTITUTE(SUBSTITUTE(DE21,"{会社}",設定!$B$3),"{自分}",設定!$B$4),"{サービス}",設定!$B$5),"{料金}",設定!$B$7),"{日付1}",設定!$B$8),"{日付2}",設定!$B$9),"{時間1}",設定!$B$10),"{時間2}",設定!$B$11),"{時間}","（指定時間）"),"{日付確定}","（確定日）"),"{時間確定}","（確定時間）"))</f>
        <v/>
      </c>
      <c r="AC21" s="1" t="str">
        <f>IFERROR(VLOOKUP(DD21,スクリプト_フロー!$A:$F,4,FALSE),"")</f>
        <v/>
      </c>
      <c r="AD21" s="6" t="str">
        <f t="shared" si="3"/>
        <v/>
      </c>
      <c r="AE21" s="6"/>
      <c r="AF21" s="4" t="str">
        <f>IF(DG21="","",SUBSTITUTE(SUBSTITUTE(SUBSTITUTE(SUBSTITUTE(SUBSTITUTE(SUBSTITUTE(SUBSTITUTE(SUBSTITUTE(SUBSTITUTE(SUBSTITUTE(SUBSTITUTE(DG21,"{会社}",設定!$B$3),"{自分}",設定!$B$4),"{サービス}",設定!$B$5),"{料金}",設定!$B$7),"{日付1}",設定!$B$8),"{日付2}",設定!$B$9),"{時間1}",設定!$B$10),"{時間2}",設定!$B$11),"{時間}","（指定時間）"),"{日付確定}","（確定日）"),"{時間確定}","（確定時間）"))</f>
        <v/>
      </c>
      <c r="AG21" s="1" t="str">
        <f>IFERROR(VLOOKUP(DF21,スクリプト_フロー!$A:$F,4,FALSE),"")</f>
        <v/>
      </c>
      <c r="CZ21" s="1" t="str">
        <f t="shared" si="4"/>
        <v>|</v>
      </c>
      <c r="DA21" s="1" t="str">
        <f>IFERROR(VLOOKUP(CZ21,スクリプト_フロー!$A:$F,5,FALSE),"")</f>
        <v/>
      </c>
      <c r="DB21" s="1" t="str">
        <f t="shared" si="5"/>
        <v>|</v>
      </c>
      <c r="DC21" s="1" t="str">
        <f>IFERROR(VLOOKUP(DB21,スクリプト_フロー!$A:$F,5,FALSE),"")</f>
        <v/>
      </c>
      <c r="DD21" s="1" t="str">
        <f t="shared" si="6"/>
        <v>|</v>
      </c>
      <c r="DE21" s="1" t="str">
        <f>IFERROR(VLOOKUP(DD21,スクリプト_フロー!$A:$F,5,FALSE),"")</f>
        <v/>
      </c>
      <c r="DF21" s="1" t="str">
        <f t="shared" si="7"/>
        <v>|</v>
      </c>
      <c r="DG21" s="1" t="str">
        <f>IFERROR(VLOOKUP(DF21,スクリプト_フロー!$A:$F,5,FALSE),"")</f>
        <v/>
      </c>
    </row>
    <row r="22" spans="1:111" ht="21">
      <c r="A22" s="1">
        <v>21</v>
      </c>
      <c r="B22" s="1" t="s">
        <v>123</v>
      </c>
      <c r="C22" s="1" t="s">
        <v>124</v>
      </c>
      <c r="D22" s="1" t="s">
        <v>44</v>
      </c>
      <c r="E22" s="6"/>
      <c r="F22" s="6"/>
      <c r="G22" s="6" t="s">
        <v>34</v>
      </c>
      <c r="H22" s="6"/>
      <c r="I22" s="4" t="str">
        <f>SUBSTITUTE(SUBSTITUTE(SUBSTITUTE(SUBSTITUTE(SUBSTITUTE(SUBSTITUTE(SUBSTITUTE(SUBSTITUTE(SUBSTITUTE(SUBSTITUTE(SUBSTITUTE(Q22,"{会社}",設定!$B$3),"{自分}",設定!$B$4),"{サービス}",設定!$B$5),"{料金}",設定!$B$7),"{日付1}",設定!$B$8),"{日付2}",設定!$B$9),"{時間1}",設定!$B$10),"{時間2}",設定!$B$11),"{時間}","（指定時間）"),"{日付確定}","（確定日）"),"{時間確定}","（確定時間）")</f>
        <v/>
      </c>
      <c r="J22" s="1" t="str">
        <f>IFERROR(VLOOKUP(P22,スクリプト_フロー!$A:$F,4,FALSE),"")</f>
        <v/>
      </c>
      <c r="K22" s="6" t="s">
        <v>35</v>
      </c>
      <c r="L22" s="6"/>
      <c r="M22" s="6"/>
      <c r="N22" s="6"/>
      <c r="O22" s="1"/>
      <c r="P22" s="1" t="str">
        <f t="shared" si="0"/>
        <v>①架電|</v>
      </c>
      <c r="Q22" s="1" t="str">
        <f>IFERROR(VLOOKUP(P22,スクリプト_フロー!$A:$F,5,FALSE),"")</f>
        <v/>
      </c>
      <c r="R22" s="6" t="str">
        <f t="shared" si="8"/>
        <v/>
      </c>
      <c r="S22" s="6"/>
      <c r="T22" s="4" t="str">
        <f>IF(DA22="","",SUBSTITUTE(SUBSTITUTE(SUBSTITUTE(SUBSTITUTE(SUBSTITUTE(SUBSTITUTE(SUBSTITUTE(SUBSTITUTE(SUBSTITUTE(SUBSTITUTE(SUBSTITUTE(DA22,"{会社}",設定!$B$3),"{自分}",設定!$B$4),"{サービス}",設定!$B$5),"{料金}",設定!$B$7),"{日付1}",設定!$B$8),"{日付2}",設定!$B$9),"{時間1}",設定!$B$10),"{時間2}",設定!$B$11),"{時間}","（指定時間）"),"{日付確定}","（確定日）"),"{時間確定}","（確定時間）"))</f>
        <v/>
      </c>
      <c r="U22" s="1" t="str">
        <f>IFERROR(VLOOKUP(CZ22,スクリプト_フロー!$A:$F,4,FALSE),"")</f>
        <v/>
      </c>
      <c r="V22" s="6" t="str">
        <f t="shared" si="1"/>
        <v/>
      </c>
      <c r="W22" s="6"/>
      <c r="X22" s="4" t="str">
        <f>IF(DC22="","",SUBSTITUTE(SUBSTITUTE(SUBSTITUTE(SUBSTITUTE(SUBSTITUTE(SUBSTITUTE(SUBSTITUTE(SUBSTITUTE(SUBSTITUTE(SUBSTITUTE(SUBSTITUTE(DC22,"{会社}",設定!$B$3),"{自分}",設定!$B$4),"{サービス}",設定!$B$5),"{料金}",設定!$B$7),"{日付1}",設定!$B$8),"{日付2}",設定!$B$9),"{時間1}",設定!$B$10),"{時間2}",設定!$B$11),"{時間}","（指定時間）"),"{日付確定}","（確定日）"),"{時間確定}","（確定時間）"))</f>
        <v/>
      </c>
      <c r="Y22" s="1" t="str">
        <f>IFERROR(VLOOKUP(DB22,スクリプト_フロー!$A:$F,4,FALSE),"")</f>
        <v/>
      </c>
      <c r="Z22" s="6" t="str">
        <f t="shared" si="2"/>
        <v/>
      </c>
      <c r="AA22" s="6"/>
      <c r="AB22" s="4" t="str">
        <f>IF(DE22="","",SUBSTITUTE(SUBSTITUTE(SUBSTITUTE(SUBSTITUTE(SUBSTITUTE(SUBSTITUTE(SUBSTITUTE(SUBSTITUTE(SUBSTITUTE(SUBSTITUTE(SUBSTITUTE(DE22,"{会社}",設定!$B$3),"{自分}",設定!$B$4),"{サービス}",設定!$B$5),"{料金}",設定!$B$7),"{日付1}",設定!$B$8),"{日付2}",設定!$B$9),"{時間1}",設定!$B$10),"{時間2}",設定!$B$11),"{時間}","（指定時間）"),"{日付確定}","（確定日）"),"{時間確定}","（確定時間）"))</f>
        <v/>
      </c>
      <c r="AC22" s="1" t="str">
        <f>IFERROR(VLOOKUP(DD22,スクリプト_フロー!$A:$F,4,FALSE),"")</f>
        <v/>
      </c>
      <c r="AD22" s="6" t="str">
        <f t="shared" si="3"/>
        <v/>
      </c>
      <c r="AE22" s="6"/>
      <c r="AF22" s="4" t="str">
        <f>IF(DG22="","",SUBSTITUTE(SUBSTITUTE(SUBSTITUTE(SUBSTITUTE(SUBSTITUTE(SUBSTITUTE(SUBSTITUTE(SUBSTITUTE(SUBSTITUTE(SUBSTITUTE(SUBSTITUTE(DG22,"{会社}",設定!$B$3),"{自分}",設定!$B$4),"{サービス}",設定!$B$5),"{料金}",設定!$B$7),"{日付1}",設定!$B$8),"{日付2}",設定!$B$9),"{時間1}",設定!$B$10),"{時間2}",設定!$B$11),"{時間}","（指定時間）"),"{日付確定}","（確定日）"),"{時間確定}","（確定時間）"))</f>
        <v/>
      </c>
      <c r="AG22" s="1" t="str">
        <f>IFERROR(VLOOKUP(DF22,スクリプト_フロー!$A:$F,4,FALSE),"")</f>
        <v/>
      </c>
      <c r="CZ22" s="1" t="str">
        <f t="shared" si="4"/>
        <v>|</v>
      </c>
      <c r="DA22" s="1" t="str">
        <f>IFERROR(VLOOKUP(CZ22,スクリプト_フロー!$A:$F,5,FALSE),"")</f>
        <v/>
      </c>
      <c r="DB22" s="1" t="str">
        <f t="shared" si="5"/>
        <v>|</v>
      </c>
      <c r="DC22" s="1" t="str">
        <f>IFERROR(VLOOKUP(DB22,スクリプト_フロー!$A:$F,5,FALSE),"")</f>
        <v/>
      </c>
      <c r="DD22" s="1" t="str">
        <f t="shared" si="6"/>
        <v>|</v>
      </c>
      <c r="DE22" s="1" t="str">
        <f>IFERROR(VLOOKUP(DD22,スクリプト_フロー!$A:$F,5,FALSE),"")</f>
        <v/>
      </c>
      <c r="DF22" s="1" t="str">
        <f t="shared" si="7"/>
        <v>|</v>
      </c>
      <c r="DG22" s="1" t="str">
        <f>IFERROR(VLOOKUP(DF22,スクリプト_フロー!$A:$F,5,FALSE),"")</f>
        <v/>
      </c>
    </row>
    <row r="23" spans="1:111" ht="21">
      <c r="A23" s="1">
        <v>22</v>
      </c>
      <c r="B23" s="1" t="s">
        <v>125</v>
      </c>
      <c r="C23" s="1" t="s">
        <v>126</v>
      </c>
      <c r="D23" s="1" t="s">
        <v>39</v>
      </c>
      <c r="E23" s="6"/>
      <c r="F23" s="6"/>
      <c r="G23" s="6" t="s">
        <v>34</v>
      </c>
      <c r="H23" s="6"/>
      <c r="I23" s="4" t="str">
        <f>SUBSTITUTE(SUBSTITUTE(SUBSTITUTE(SUBSTITUTE(SUBSTITUTE(SUBSTITUTE(SUBSTITUTE(SUBSTITUTE(SUBSTITUTE(SUBSTITUTE(SUBSTITUTE(Q23,"{会社}",設定!$B$3),"{自分}",設定!$B$4),"{サービス}",設定!$B$5),"{料金}",設定!$B$7),"{日付1}",設定!$B$8),"{日付2}",設定!$B$9),"{時間1}",設定!$B$10),"{時間2}",設定!$B$11),"{時間}","（指定時間）"),"{日付確定}","（確定日）"),"{時間確定}","（確定時間）")</f>
        <v/>
      </c>
      <c r="J23" s="1" t="str">
        <f>IFERROR(VLOOKUP(P23,スクリプト_フロー!$A:$F,4,FALSE),"")</f>
        <v/>
      </c>
      <c r="K23" s="6" t="s">
        <v>35</v>
      </c>
      <c r="L23" s="6"/>
      <c r="M23" s="6"/>
      <c r="N23" s="6"/>
      <c r="O23" s="1"/>
      <c r="P23" s="1" t="str">
        <f t="shared" si="0"/>
        <v>①架電|</v>
      </c>
      <c r="Q23" s="1" t="str">
        <f>IFERROR(VLOOKUP(P23,スクリプト_フロー!$A:$F,5,FALSE),"")</f>
        <v/>
      </c>
      <c r="R23" s="6" t="str">
        <f t="shared" si="8"/>
        <v/>
      </c>
      <c r="S23" s="6"/>
      <c r="T23" s="4" t="str">
        <f>IF(DA23="","",SUBSTITUTE(SUBSTITUTE(SUBSTITUTE(SUBSTITUTE(SUBSTITUTE(SUBSTITUTE(SUBSTITUTE(SUBSTITUTE(SUBSTITUTE(SUBSTITUTE(SUBSTITUTE(DA23,"{会社}",設定!$B$3),"{自分}",設定!$B$4),"{サービス}",設定!$B$5),"{料金}",設定!$B$7),"{日付1}",設定!$B$8),"{日付2}",設定!$B$9),"{時間1}",設定!$B$10),"{時間2}",設定!$B$11),"{時間}","（指定時間）"),"{日付確定}","（確定日）"),"{時間確定}","（確定時間）"))</f>
        <v/>
      </c>
      <c r="U23" s="1" t="str">
        <f>IFERROR(VLOOKUP(CZ23,スクリプト_フロー!$A:$F,4,FALSE),"")</f>
        <v/>
      </c>
      <c r="V23" s="6" t="str">
        <f t="shared" si="1"/>
        <v/>
      </c>
      <c r="W23" s="6"/>
      <c r="X23" s="4" t="str">
        <f>IF(DC23="","",SUBSTITUTE(SUBSTITUTE(SUBSTITUTE(SUBSTITUTE(SUBSTITUTE(SUBSTITUTE(SUBSTITUTE(SUBSTITUTE(SUBSTITUTE(SUBSTITUTE(SUBSTITUTE(DC23,"{会社}",設定!$B$3),"{自分}",設定!$B$4),"{サービス}",設定!$B$5),"{料金}",設定!$B$7),"{日付1}",設定!$B$8),"{日付2}",設定!$B$9),"{時間1}",設定!$B$10),"{時間2}",設定!$B$11),"{時間}","（指定時間）"),"{日付確定}","（確定日）"),"{時間確定}","（確定時間）"))</f>
        <v/>
      </c>
      <c r="Y23" s="1" t="str">
        <f>IFERROR(VLOOKUP(DB23,スクリプト_フロー!$A:$F,4,FALSE),"")</f>
        <v/>
      </c>
      <c r="Z23" s="6" t="str">
        <f t="shared" si="2"/>
        <v/>
      </c>
      <c r="AA23" s="6"/>
      <c r="AB23" s="4" t="str">
        <f>IF(DE23="","",SUBSTITUTE(SUBSTITUTE(SUBSTITUTE(SUBSTITUTE(SUBSTITUTE(SUBSTITUTE(SUBSTITUTE(SUBSTITUTE(SUBSTITUTE(SUBSTITUTE(SUBSTITUTE(DE23,"{会社}",設定!$B$3),"{自分}",設定!$B$4),"{サービス}",設定!$B$5),"{料金}",設定!$B$7),"{日付1}",設定!$B$8),"{日付2}",設定!$B$9),"{時間1}",設定!$B$10),"{時間2}",設定!$B$11),"{時間}","（指定時間）"),"{日付確定}","（確定日）"),"{時間確定}","（確定時間）"))</f>
        <v/>
      </c>
      <c r="AC23" s="1" t="str">
        <f>IFERROR(VLOOKUP(DD23,スクリプト_フロー!$A:$F,4,FALSE),"")</f>
        <v/>
      </c>
      <c r="AD23" s="6" t="str">
        <f t="shared" si="3"/>
        <v/>
      </c>
      <c r="AE23" s="6"/>
      <c r="AF23" s="4" t="str">
        <f>IF(DG23="","",SUBSTITUTE(SUBSTITUTE(SUBSTITUTE(SUBSTITUTE(SUBSTITUTE(SUBSTITUTE(SUBSTITUTE(SUBSTITUTE(SUBSTITUTE(SUBSTITUTE(SUBSTITUTE(DG23,"{会社}",設定!$B$3),"{自分}",設定!$B$4),"{サービス}",設定!$B$5),"{料金}",設定!$B$7),"{日付1}",設定!$B$8),"{日付2}",設定!$B$9),"{時間1}",設定!$B$10),"{時間2}",設定!$B$11),"{時間}","（指定時間）"),"{日付確定}","（確定日）"),"{時間確定}","（確定時間）"))</f>
        <v/>
      </c>
      <c r="AG23" s="1" t="str">
        <f>IFERROR(VLOOKUP(DF23,スクリプト_フロー!$A:$F,4,FALSE),"")</f>
        <v/>
      </c>
      <c r="CZ23" s="1" t="str">
        <f t="shared" si="4"/>
        <v>|</v>
      </c>
      <c r="DA23" s="1" t="str">
        <f>IFERROR(VLOOKUP(CZ23,スクリプト_フロー!$A:$F,5,FALSE),"")</f>
        <v/>
      </c>
      <c r="DB23" s="1" t="str">
        <f t="shared" si="5"/>
        <v>|</v>
      </c>
      <c r="DC23" s="1" t="str">
        <f>IFERROR(VLOOKUP(DB23,スクリプト_フロー!$A:$F,5,FALSE),"")</f>
        <v/>
      </c>
      <c r="DD23" s="1" t="str">
        <f t="shared" si="6"/>
        <v>|</v>
      </c>
      <c r="DE23" s="1" t="str">
        <f>IFERROR(VLOOKUP(DD23,スクリプト_フロー!$A:$F,5,FALSE),"")</f>
        <v/>
      </c>
      <c r="DF23" s="1" t="str">
        <f t="shared" si="7"/>
        <v>|</v>
      </c>
      <c r="DG23" s="1" t="str">
        <f>IFERROR(VLOOKUP(DF23,スクリプト_フロー!$A:$F,5,FALSE),"")</f>
        <v/>
      </c>
    </row>
    <row r="24" spans="1:111" ht="21">
      <c r="A24" s="1">
        <v>23</v>
      </c>
      <c r="B24" s="1" t="s">
        <v>127</v>
      </c>
      <c r="C24" s="1" t="s">
        <v>128</v>
      </c>
      <c r="D24" s="1" t="s">
        <v>39</v>
      </c>
      <c r="E24" s="6"/>
      <c r="F24" s="6"/>
      <c r="G24" s="6" t="s">
        <v>34</v>
      </c>
      <c r="H24" s="6"/>
      <c r="I24" s="4" t="str">
        <f>SUBSTITUTE(SUBSTITUTE(SUBSTITUTE(SUBSTITUTE(SUBSTITUTE(SUBSTITUTE(SUBSTITUTE(SUBSTITUTE(SUBSTITUTE(SUBSTITUTE(SUBSTITUTE(Q24,"{会社}",設定!$B$3),"{自分}",設定!$B$4),"{サービス}",設定!$B$5),"{料金}",設定!$B$7),"{日付1}",設定!$B$8),"{日付2}",設定!$B$9),"{時間1}",設定!$B$10),"{時間2}",設定!$B$11),"{時間}","（指定時間）"),"{日付確定}","（確定日）"),"{時間確定}","（確定時間）")</f>
        <v/>
      </c>
      <c r="J24" s="1" t="str">
        <f>IFERROR(VLOOKUP(P24,スクリプト_フロー!$A:$F,4,FALSE),"")</f>
        <v/>
      </c>
      <c r="K24" s="6" t="s">
        <v>35</v>
      </c>
      <c r="L24" s="6"/>
      <c r="M24" s="6"/>
      <c r="N24" s="6"/>
      <c r="O24" s="1"/>
      <c r="P24" s="1" t="str">
        <f t="shared" si="0"/>
        <v>①架電|</v>
      </c>
      <c r="Q24" s="1" t="str">
        <f>IFERROR(VLOOKUP(P24,スクリプト_フロー!$A:$F,5,FALSE),"")</f>
        <v/>
      </c>
      <c r="R24" s="6" t="str">
        <f t="shared" si="8"/>
        <v/>
      </c>
      <c r="S24" s="6"/>
      <c r="T24" s="4" t="str">
        <f>IF(DA24="","",SUBSTITUTE(SUBSTITUTE(SUBSTITUTE(SUBSTITUTE(SUBSTITUTE(SUBSTITUTE(SUBSTITUTE(SUBSTITUTE(SUBSTITUTE(SUBSTITUTE(SUBSTITUTE(DA24,"{会社}",設定!$B$3),"{自分}",設定!$B$4),"{サービス}",設定!$B$5),"{料金}",設定!$B$7),"{日付1}",設定!$B$8),"{日付2}",設定!$B$9),"{時間1}",設定!$B$10),"{時間2}",設定!$B$11),"{時間}","（指定時間）"),"{日付確定}","（確定日）"),"{時間確定}","（確定時間）"))</f>
        <v/>
      </c>
      <c r="U24" s="1" t="str">
        <f>IFERROR(VLOOKUP(CZ24,スクリプト_フロー!$A:$F,4,FALSE),"")</f>
        <v/>
      </c>
      <c r="V24" s="6" t="str">
        <f t="shared" si="1"/>
        <v/>
      </c>
      <c r="W24" s="6"/>
      <c r="X24" s="4" t="str">
        <f>IF(DC24="","",SUBSTITUTE(SUBSTITUTE(SUBSTITUTE(SUBSTITUTE(SUBSTITUTE(SUBSTITUTE(SUBSTITUTE(SUBSTITUTE(SUBSTITUTE(SUBSTITUTE(SUBSTITUTE(DC24,"{会社}",設定!$B$3),"{自分}",設定!$B$4),"{サービス}",設定!$B$5),"{料金}",設定!$B$7),"{日付1}",設定!$B$8),"{日付2}",設定!$B$9),"{時間1}",設定!$B$10),"{時間2}",設定!$B$11),"{時間}","（指定時間）"),"{日付確定}","（確定日）"),"{時間確定}","（確定時間）"))</f>
        <v/>
      </c>
      <c r="Y24" s="1" t="str">
        <f>IFERROR(VLOOKUP(DB24,スクリプト_フロー!$A:$F,4,FALSE),"")</f>
        <v/>
      </c>
      <c r="Z24" s="6" t="str">
        <f t="shared" si="2"/>
        <v/>
      </c>
      <c r="AA24" s="6"/>
      <c r="AB24" s="4" t="str">
        <f>IF(DE24="","",SUBSTITUTE(SUBSTITUTE(SUBSTITUTE(SUBSTITUTE(SUBSTITUTE(SUBSTITUTE(SUBSTITUTE(SUBSTITUTE(SUBSTITUTE(SUBSTITUTE(SUBSTITUTE(DE24,"{会社}",設定!$B$3),"{自分}",設定!$B$4),"{サービス}",設定!$B$5),"{料金}",設定!$B$7),"{日付1}",設定!$B$8),"{日付2}",設定!$B$9),"{時間1}",設定!$B$10),"{時間2}",設定!$B$11),"{時間}","（指定時間）"),"{日付確定}","（確定日）"),"{時間確定}","（確定時間）"))</f>
        <v/>
      </c>
      <c r="AC24" s="1" t="str">
        <f>IFERROR(VLOOKUP(DD24,スクリプト_フロー!$A:$F,4,FALSE),"")</f>
        <v/>
      </c>
      <c r="AD24" s="6" t="str">
        <f t="shared" si="3"/>
        <v/>
      </c>
      <c r="AE24" s="6"/>
      <c r="AF24" s="4" t="str">
        <f>IF(DG24="","",SUBSTITUTE(SUBSTITUTE(SUBSTITUTE(SUBSTITUTE(SUBSTITUTE(SUBSTITUTE(SUBSTITUTE(SUBSTITUTE(SUBSTITUTE(SUBSTITUTE(SUBSTITUTE(DG24,"{会社}",設定!$B$3),"{自分}",設定!$B$4),"{サービス}",設定!$B$5),"{料金}",設定!$B$7),"{日付1}",設定!$B$8),"{日付2}",設定!$B$9),"{時間1}",設定!$B$10),"{時間2}",設定!$B$11),"{時間}","（指定時間）"),"{日付確定}","（確定日）"),"{時間確定}","（確定時間）"))</f>
        <v/>
      </c>
      <c r="AG24" s="1" t="str">
        <f>IFERROR(VLOOKUP(DF24,スクリプト_フロー!$A:$F,4,FALSE),"")</f>
        <v/>
      </c>
      <c r="CZ24" s="1" t="str">
        <f t="shared" si="4"/>
        <v>|</v>
      </c>
      <c r="DA24" s="1" t="str">
        <f>IFERROR(VLOOKUP(CZ24,スクリプト_フロー!$A:$F,5,FALSE),"")</f>
        <v/>
      </c>
      <c r="DB24" s="1" t="str">
        <f t="shared" si="5"/>
        <v>|</v>
      </c>
      <c r="DC24" s="1" t="str">
        <f>IFERROR(VLOOKUP(DB24,スクリプト_フロー!$A:$F,5,FALSE),"")</f>
        <v/>
      </c>
      <c r="DD24" s="1" t="str">
        <f t="shared" si="6"/>
        <v>|</v>
      </c>
      <c r="DE24" s="1" t="str">
        <f>IFERROR(VLOOKUP(DD24,スクリプト_フロー!$A:$F,5,FALSE),"")</f>
        <v/>
      </c>
      <c r="DF24" s="1" t="str">
        <f t="shared" si="7"/>
        <v>|</v>
      </c>
      <c r="DG24" s="1" t="str">
        <f>IFERROR(VLOOKUP(DF24,スクリプト_フロー!$A:$F,5,FALSE),"")</f>
        <v/>
      </c>
    </row>
    <row r="25" spans="1:111" ht="21">
      <c r="A25" s="1">
        <v>24</v>
      </c>
      <c r="B25" s="1" t="s">
        <v>129</v>
      </c>
      <c r="C25" s="1" t="s">
        <v>130</v>
      </c>
      <c r="D25" s="1" t="s">
        <v>39</v>
      </c>
      <c r="E25" s="6"/>
      <c r="F25" s="6"/>
      <c r="G25" s="6" t="s">
        <v>34</v>
      </c>
      <c r="H25" s="6"/>
      <c r="I25" s="4" t="str">
        <f>SUBSTITUTE(SUBSTITUTE(SUBSTITUTE(SUBSTITUTE(SUBSTITUTE(SUBSTITUTE(SUBSTITUTE(SUBSTITUTE(SUBSTITUTE(SUBSTITUTE(SUBSTITUTE(Q25,"{会社}",設定!$B$3),"{自分}",設定!$B$4),"{サービス}",設定!$B$5),"{料金}",設定!$B$7),"{日付1}",設定!$B$8),"{日付2}",設定!$B$9),"{時間1}",設定!$B$10),"{時間2}",設定!$B$11),"{時間}","（指定時間）"),"{日付確定}","（確定日）"),"{時間確定}","（確定時間）")</f>
        <v/>
      </c>
      <c r="J25" s="1" t="str">
        <f>IFERROR(VLOOKUP(P25,スクリプト_フロー!$A:$F,4,FALSE),"")</f>
        <v/>
      </c>
      <c r="K25" s="6" t="s">
        <v>35</v>
      </c>
      <c r="L25" s="6"/>
      <c r="M25" s="6"/>
      <c r="N25" s="6"/>
      <c r="O25" s="1"/>
      <c r="P25" s="1" t="str">
        <f t="shared" si="0"/>
        <v>①架電|</v>
      </c>
      <c r="Q25" s="1" t="str">
        <f>IFERROR(VLOOKUP(P25,スクリプト_フロー!$A:$F,5,FALSE),"")</f>
        <v/>
      </c>
      <c r="R25" s="6" t="str">
        <f t="shared" si="8"/>
        <v/>
      </c>
      <c r="S25" s="6"/>
      <c r="T25" s="4" t="str">
        <f>IF(DA25="","",SUBSTITUTE(SUBSTITUTE(SUBSTITUTE(SUBSTITUTE(SUBSTITUTE(SUBSTITUTE(SUBSTITUTE(SUBSTITUTE(SUBSTITUTE(SUBSTITUTE(SUBSTITUTE(DA25,"{会社}",設定!$B$3),"{自分}",設定!$B$4),"{サービス}",設定!$B$5),"{料金}",設定!$B$7),"{日付1}",設定!$B$8),"{日付2}",設定!$B$9),"{時間1}",設定!$B$10),"{時間2}",設定!$B$11),"{時間}","（指定時間）"),"{日付確定}","（確定日）"),"{時間確定}","（確定時間）"))</f>
        <v/>
      </c>
      <c r="U25" s="1" t="str">
        <f>IFERROR(VLOOKUP(CZ25,スクリプト_フロー!$A:$F,4,FALSE),"")</f>
        <v/>
      </c>
      <c r="V25" s="6" t="str">
        <f t="shared" si="1"/>
        <v/>
      </c>
      <c r="W25" s="6"/>
      <c r="X25" s="4" t="str">
        <f>IF(DC25="","",SUBSTITUTE(SUBSTITUTE(SUBSTITUTE(SUBSTITUTE(SUBSTITUTE(SUBSTITUTE(SUBSTITUTE(SUBSTITUTE(SUBSTITUTE(SUBSTITUTE(SUBSTITUTE(DC25,"{会社}",設定!$B$3),"{自分}",設定!$B$4),"{サービス}",設定!$B$5),"{料金}",設定!$B$7),"{日付1}",設定!$B$8),"{日付2}",設定!$B$9),"{時間1}",設定!$B$10),"{時間2}",設定!$B$11),"{時間}","（指定時間）"),"{日付確定}","（確定日）"),"{時間確定}","（確定時間）"))</f>
        <v/>
      </c>
      <c r="Y25" s="1" t="str">
        <f>IFERROR(VLOOKUP(DB25,スクリプト_フロー!$A:$F,4,FALSE),"")</f>
        <v/>
      </c>
      <c r="Z25" s="6" t="str">
        <f t="shared" si="2"/>
        <v/>
      </c>
      <c r="AA25" s="6"/>
      <c r="AB25" s="4" t="str">
        <f>IF(DE25="","",SUBSTITUTE(SUBSTITUTE(SUBSTITUTE(SUBSTITUTE(SUBSTITUTE(SUBSTITUTE(SUBSTITUTE(SUBSTITUTE(SUBSTITUTE(SUBSTITUTE(SUBSTITUTE(DE25,"{会社}",設定!$B$3),"{自分}",設定!$B$4),"{サービス}",設定!$B$5),"{料金}",設定!$B$7),"{日付1}",設定!$B$8),"{日付2}",設定!$B$9),"{時間1}",設定!$B$10),"{時間2}",設定!$B$11),"{時間}","（指定時間）"),"{日付確定}","（確定日）"),"{時間確定}","（確定時間）"))</f>
        <v/>
      </c>
      <c r="AC25" s="1" t="str">
        <f>IFERROR(VLOOKUP(DD25,スクリプト_フロー!$A:$F,4,FALSE),"")</f>
        <v/>
      </c>
      <c r="AD25" s="6" t="str">
        <f t="shared" si="3"/>
        <v/>
      </c>
      <c r="AE25" s="6"/>
      <c r="AF25" s="4" t="str">
        <f>IF(DG25="","",SUBSTITUTE(SUBSTITUTE(SUBSTITUTE(SUBSTITUTE(SUBSTITUTE(SUBSTITUTE(SUBSTITUTE(SUBSTITUTE(SUBSTITUTE(SUBSTITUTE(SUBSTITUTE(DG25,"{会社}",設定!$B$3),"{自分}",設定!$B$4),"{サービス}",設定!$B$5),"{料金}",設定!$B$7),"{日付1}",設定!$B$8),"{日付2}",設定!$B$9),"{時間1}",設定!$B$10),"{時間2}",設定!$B$11),"{時間}","（指定時間）"),"{日付確定}","（確定日）"),"{時間確定}","（確定時間）"))</f>
        <v/>
      </c>
      <c r="AG25" s="1" t="str">
        <f>IFERROR(VLOOKUP(DF25,スクリプト_フロー!$A:$F,4,FALSE),"")</f>
        <v/>
      </c>
      <c r="CZ25" s="1" t="str">
        <f t="shared" si="4"/>
        <v>|</v>
      </c>
      <c r="DA25" s="1" t="str">
        <f>IFERROR(VLOOKUP(CZ25,スクリプト_フロー!$A:$F,5,FALSE),"")</f>
        <v/>
      </c>
      <c r="DB25" s="1" t="str">
        <f t="shared" si="5"/>
        <v>|</v>
      </c>
      <c r="DC25" s="1" t="str">
        <f>IFERROR(VLOOKUP(DB25,スクリプト_フロー!$A:$F,5,FALSE),"")</f>
        <v/>
      </c>
      <c r="DD25" s="1" t="str">
        <f t="shared" si="6"/>
        <v>|</v>
      </c>
      <c r="DE25" s="1" t="str">
        <f>IFERROR(VLOOKUP(DD25,スクリプト_フロー!$A:$F,5,FALSE),"")</f>
        <v/>
      </c>
      <c r="DF25" s="1" t="str">
        <f t="shared" si="7"/>
        <v>|</v>
      </c>
      <c r="DG25" s="1" t="str">
        <f>IFERROR(VLOOKUP(DF25,スクリプト_フロー!$A:$F,5,FALSE),"")</f>
        <v/>
      </c>
    </row>
    <row r="26" spans="1:111" ht="21">
      <c r="A26" s="1">
        <v>25</v>
      </c>
      <c r="B26" s="1" t="s">
        <v>131</v>
      </c>
      <c r="C26" s="1" t="s">
        <v>132</v>
      </c>
      <c r="D26" s="1" t="s">
        <v>133</v>
      </c>
      <c r="E26" s="6"/>
      <c r="F26" s="6"/>
      <c r="G26" s="6" t="s">
        <v>34</v>
      </c>
      <c r="H26" s="6"/>
      <c r="I26" s="4" t="str">
        <f>SUBSTITUTE(SUBSTITUTE(SUBSTITUTE(SUBSTITUTE(SUBSTITUTE(SUBSTITUTE(SUBSTITUTE(SUBSTITUTE(SUBSTITUTE(SUBSTITUTE(SUBSTITUTE(Q26,"{会社}",設定!$B$3),"{自分}",設定!$B$4),"{サービス}",設定!$B$5),"{料金}",設定!$B$7),"{日付1}",設定!$B$8),"{日付2}",設定!$B$9),"{時間1}",設定!$B$10),"{時間2}",設定!$B$11),"{時間}","（指定時間）"),"{日付確定}","（確定日）"),"{時間確定}","（確定時間）")</f>
        <v/>
      </c>
      <c r="J26" s="1" t="str">
        <f>IFERROR(VLOOKUP(P26,スクリプト_フロー!$A:$F,4,FALSE),"")</f>
        <v/>
      </c>
      <c r="K26" s="6" t="s">
        <v>35</v>
      </c>
      <c r="L26" s="6"/>
      <c r="M26" s="6"/>
      <c r="N26" s="6"/>
      <c r="O26" s="1"/>
      <c r="P26" s="1" t="str">
        <f t="shared" si="0"/>
        <v>①架電|</v>
      </c>
      <c r="Q26" s="1" t="str">
        <f>IFERROR(VLOOKUP(P26,スクリプト_フロー!$A:$F,5,FALSE),"")</f>
        <v/>
      </c>
      <c r="R26" s="6" t="str">
        <f t="shared" si="8"/>
        <v/>
      </c>
      <c r="S26" s="6"/>
      <c r="T26" s="4" t="str">
        <f>IF(DA26="","",SUBSTITUTE(SUBSTITUTE(SUBSTITUTE(SUBSTITUTE(SUBSTITUTE(SUBSTITUTE(SUBSTITUTE(SUBSTITUTE(SUBSTITUTE(SUBSTITUTE(SUBSTITUTE(DA26,"{会社}",設定!$B$3),"{自分}",設定!$B$4),"{サービス}",設定!$B$5),"{料金}",設定!$B$7),"{日付1}",設定!$B$8),"{日付2}",設定!$B$9),"{時間1}",設定!$B$10),"{時間2}",設定!$B$11),"{時間}","（指定時間）"),"{日付確定}","（確定日）"),"{時間確定}","（確定時間）"))</f>
        <v/>
      </c>
      <c r="U26" s="1" t="str">
        <f>IFERROR(VLOOKUP(CZ26,スクリプト_フロー!$A:$F,4,FALSE),"")</f>
        <v/>
      </c>
      <c r="V26" s="6" t="str">
        <f t="shared" si="1"/>
        <v/>
      </c>
      <c r="W26" s="6"/>
      <c r="X26" s="4" t="str">
        <f>IF(DC26="","",SUBSTITUTE(SUBSTITUTE(SUBSTITUTE(SUBSTITUTE(SUBSTITUTE(SUBSTITUTE(SUBSTITUTE(SUBSTITUTE(SUBSTITUTE(SUBSTITUTE(SUBSTITUTE(DC26,"{会社}",設定!$B$3),"{自分}",設定!$B$4),"{サービス}",設定!$B$5),"{料金}",設定!$B$7),"{日付1}",設定!$B$8),"{日付2}",設定!$B$9),"{時間1}",設定!$B$10),"{時間2}",設定!$B$11),"{時間}","（指定時間）"),"{日付確定}","（確定日）"),"{時間確定}","（確定時間）"))</f>
        <v/>
      </c>
      <c r="Y26" s="1" t="str">
        <f>IFERROR(VLOOKUP(DB26,スクリプト_フロー!$A:$F,4,FALSE),"")</f>
        <v/>
      </c>
      <c r="Z26" s="6" t="str">
        <f t="shared" si="2"/>
        <v/>
      </c>
      <c r="AA26" s="6"/>
      <c r="AB26" s="4" t="str">
        <f>IF(DE26="","",SUBSTITUTE(SUBSTITUTE(SUBSTITUTE(SUBSTITUTE(SUBSTITUTE(SUBSTITUTE(SUBSTITUTE(SUBSTITUTE(SUBSTITUTE(SUBSTITUTE(SUBSTITUTE(DE26,"{会社}",設定!$B$3),"{自分}",設定!$B$4),"{サービス}",設定!$B$5),"{料金}",設定!$B$7),"{日付1}",設定!$B$8),"{日付2}",設定!$B$9),"{時間1}",設定!$B$10),"{時間2}",設定!$B$11),"{時間}","（指定時間）"),"{日付確定}","（確定日）"),"{時間確定}","（確定時間）"))</f>
        <v/>
      </c>
      <c r="AC26" s="1" t="str">
        <f>IFERROR(VLOOKUP(DD26,スクリプト_フロー!$A:$F,4,FALSE),"")</f>
        <v/>
      </c>
      <c r="AD26" s="6" t="str">
        <f t="shared" si="3"/>
        <v/>
      </c>
      <c r="AE26" s="6"/>
      <c r="AF26" s="4" t="str">
        <f>IF(DG26="","",SUBSTITUTE(SUBSTITUTE(SUBSTITUTE(SUBSTITUTE(SUBSTITUTE(SUBSTITUTE(SUBSTITUTE(SUBSTITUTE(SUBSTITUTE(SUBSTITUTE(SUBSTITUTE(DG26,"{会社}",設定!$B$3),"{自分}",設定!$B$4),"{サービス}",設定!$B$5),"{料金}",設定!$B$7),"{日付1}",設定!$B$8),"{日付2}",設定!$B$9),"{時間1}",設定!$B$10),"{時間2}",設定!$B$11),"{時間}","（指定時間）"),"{日付確定}","（確定日）"),"{時間確定}","（確定時間）"))</f>
        <v/>
      </c>
      <c r="AG26" s="1" t="str">
        <f>IFERROR(VLOOKUP(DF26,スクリプト_フロー!$A:$F,4,FALSE),"")</f>
        <v/>
      </c>
      <c r="CZ26" s="1" t="str">
        <f t="shared" si="4"/>
        <v>|</v>
      </c>
      <c r="DA26" s="1" t="str">
        <f>IFERROR(VLOOKUP(CZ26,スクリプト_フロー!$A:$F,5,FALSE),"")</f>
        <v/>
      </c>
      <c r="DB26" s="1" t="str">
        <f t="shared" si="5"/>
        <v>|</v>
      </c>
      <c r="DC26" s="1" t="str">
        <f>IFERROR(VLOOKUP(DB26,スクリプト_フロー!$A:$F,5,FALSE),"")</f>
        <v/>
      </c>
      <c r="DD26" s="1" t="str">
        <f t="shared" si="6"/>
        <v>|</v>
      </c>
      <c r="DE26" s="1" t="str">
        <f>IFERROR(VLOOKUP(DD26,スクリプト_フロー!$A:$F,5,FALSE),"")</f>
        <v/>
      </c>
      <c r="DF26" s="1" t="str">
        <f t="shared" si="7"/>
        <v>|</v>
      </c>
      <c r="DG26" s="1" t="str">
        <f>IFERROR(VLOOKUP(DF26,スクリプト_フロー!$A:$F,5,FALSE),"")</f>
        <v/>
      </c>
    </row>
    <row r="27" spans="1:111" ht="21">
      <c r="A27" s="1">
        <v>26</v>
      </c>
      <c r="B27" s="1" t="s">
        <v>134</v>
      </c>
      <c r="C27" s="1" t="s">
        <v>135</v>
      </c>
      <c r="D27" s="1" t="s">
        <v>39</v>
      </c>
      <c r="E27" s="6"/>
      <c r="F27" s="6"/>
      <c r="G27" s="6" t="s">
        <v>34</v>
      </c>
      <c r="H27" s="6"/>
      <c r="I27" s="4" t="str">
        <f>SUBSTITUTE(SUBSTITUTE(SUBSTITUTE(SUBSTITUTE(SUBSTITUTE(SUBSTITUTE(SUBSTITUTE(SUBSTITUTE(SUBSTITUTE(SUBSTITUTE(SUBSTITUTE(Q27,"{会社}",設定!$B$3),"{自分}",設定!$B$4),"{サービス}",設定!$B$5),"{料金}",設定!$B$7),"{日付1}",設定!$B$8),"{日付2}",設定!$B$9),"{時間1}",設定!$B$10),"{時間2}",設定!$B$11),"{時間}","（指定時間）"),"{日付確定}","（確定日）"),"{時間確定}","（確定時間）")</f>
        <v/>
      </c>
      <c r="J27" s="1" t="str">
        <f>IFERROR(VLOOKUP(P27,スクリプト_フロー!$A:$F,4,FALSE),"")</f>
        <v/>
      </c>
      <c r="K27" s="6" t="s">
        <v>35</v>
      </c>
      <c r="L27" s="6"/>
      <c r="M27" s="6"/>
      <c r="N27" s="6"/>
      <c r="O27" s="1"/>
      <c r="P27" s="1" t="str">
        <f t="shared" si="0"/>
        <v>①架電|</v>
      </c>
      <c r="Q27" s="1" t="str">
        <f>IFERROR(VLOOKUP(P27,スクリプト_フロー!$A:$F,5,FALSE),"")</f>
        <v/>
      </c>
      <c r="R27" s="6" t="str">
        <f t="shared" si="8"/>
        <v/>
      </c>
      <c r="S27" s="6"/>
      <c r="T27" s="4" t="str">
        <f>IF(DA27="","",SUBSTITUTE(SUBSTITUTE(SUBSTITUTE(SUBSTITUTE(SUBSTITUTE(SUBSTITUTE(SUBSTITUTE(SUBSTITUTE(SUBSTITUTE(SUBSTITUTE(SUBSTITUTE(DA27,"{会社}",設定!$B$3),"{自分}",設定!$B$4),"{サービス}",設定!$B$5),"{料金}",設定!$B$7),"{日付1}",設定!$B$8),"{日付2}",設定!$B$9),"{時間1}",設定!$B$10),"{時間2}",設定!$B$11),"{時間}","（指定時間）"),"{日付確定}","（確定日）"),"{時間確定}","（確定時間）"))</f>
        <v/>
      </c>
      <c r="U27" s="1" t="str">
        <f>IFERROR(VLOOKUP(CZ27,スクリプト_フロー!$A:$F,4,FALSE),"")</f>
        <v/>
      </c>
      <c r="V27" s="6" t="str">
        <f t="shared" si="1"/>
        <v/>
      </c>
      <c r="W27" s="6"/>
      <c r="X27" s="4" t="str">
        <f>IF(DC27="","",SUBSTITUTE(SUBSTITUTE(SUBSTITUTE(SUBSTITUTE(SUBSTITUTE(SUBSTITUTE(SUBSTITUTE(SUBSTITUTE(SUBSTITUTE(SUBSTITUTE(SUBSTITUTE(DC27,"{会社}",設定!$B$3),"{自分}",設定!$B$4),"{サービス}",設定!$B$5),"{料金}",設定!$B$7),"{日付1}",設定!$B$8),"{日付2}",設定!$B$9),"{時間1}",設定!$B$10),"{時間2}",設定!$B$11),"{時間}","（指定時間）"),"{日付確定}","（確定日）"),"{時間確定}","（確定時間）"))</f>
        <v/>
      </c>
      <c r="Y27" s="1" t="str">
        <f>IFERROR(VLOOKUP(DB27,スクリプト_フロー!$A:$F,4,FALSE),"")</f>
        <v/>
      </c>
      <c r="Z27" s="6" t="str">
        <f t="shared" si="2"/>
        <v/>
      </c>
      <c r="AA27" s="6"/>
      <c r="AB27" s="4" t="str">
        <f>IF(DE27="","",SUBSTITUTE(SUBSTITUTE(SUBSTITUTE(SUBSTITUTE(SUBSTITUTE(SUBSTITUTE(SUBSTITUTE(SUBSTITUTE(SUBSTITUTE(SUBSTITUTE(SUBSTITUTE(DE27,"{会社}",設定!$B$3),"{自分}",設定!$B$4),"{サービス}",設定!$B$5),"{料金}",設定!$B$7),"{日付1}",設定!$B$8),"{日付2}",設定!$B$9),"{時間1}",設定!$B$10),"{時間2}",設定!$B$11),"{時間}","（指定時間）"),"{日付確定}","（確定日）"),"{時間確定}","（確定時間）"))</f>
        <v/>
      </c>
      <c r="AC27" s="1" t="str">
        <f>IFERROR(VLOOKUP(DD27,スクリプト_フロー!$A:$F,4,FALSE),"")</f>
        <v/>
      </c>
      <c r="AD27" s="6" t="str">
        <f t="shared" si="3"/>
        <v/>
      </c>
      <c r="AE27" s="6"/>
      <c r="AF27" s="4" t="str">
        <f>IF(DG27="","",SUBSTITUTE(SUBSTITUTE(SUBSTITUTE(SUBSTITUTE(SUBSTITUTE(SUBSTITUTE(SUBSTITUTE(SUBSTITUTE(SUBSTITUTE(SUBSTITUTE(SUBSTITUTE(DG27,"{会社}",設定!$B$3),"{自分}",設定!$B$4),"{サービス}",設定!$B$5),"{料金}",設定!$B$7),"{日付1}",設定!$B$8),"{日付2}",設定!$B$9),"{時間1}",設定!$B$10),"{時間2}",設定!$B$11),"{時間}","（指定時間）"),"{日付確定}","（確定日）"),"{時間確定}","（確定時間）"))</f>
        <v/>
      </c>
      <c r="AG27" s="1" t="str">
        <f>IFERROR(VLOOKUP(DF27,スクリプト_フロー!$A:$F,4,FALSE),"")</f>
        <v/>
      </c>
      <c r="CZ27" s="1" t="str">
        <f t="shared" si="4"/>
        <v>|</v>
      </c>
      <c r="DA27" s="1" t="str">
        <f>IFERROR(VLOOKUP(CZ27,スクリプト_フロー!$A:$F,5,FALSE),"")</f>
        <v/>
      </c>
      <c r="DB27" s="1" t="str">
        <f t="shared" si="5"/>
        <v>|</v>
      </c>
      <c r="DC27" s="1" t="str">
        <f>IFERROR(VLOOKUP(DB27,スクリプト_フロー!$A:$F,5,FALSE),"")</f>
        <v/>
      </c>
      <c r="DD27" s="1" t="str">
        <f t="shared" si="6"/>
        <v>|</v>
      </c>
      <c r="DE27" s="1" t="str">
        <f>IFERROR(VLOOKUP(DD27,スクリプト_フロー!$A:$F,5,FALSE),"")</f>
        <v/>
      </c>
      <c r="DF27" s="1" t="str">
        <f t="shared" si="7"/>
        <v>|</v>
      </c>
      <c r="DG27" s="1" t="str">
        <f>IFERROR(VLOOKUP(DF27,スクリプト_フロー!$A:$F,5,FALSE),"")</f>
        <v/>
      </c>
    </row>
    <row r="28" spans="1:111" ht="21">
      <c r="A28" s="1">
        <v>27</v>
      </c>
      <c r="B28" s="1" t="s">
        <v>136</v>
      </c>
      <c r="C28" s="1" t="s">
        <v>137</v>
      </c>
      <c r="D28" s="1" t="s">
        <v>39</v>
      </c>
      <c r="E28" s="6"/>
      <c r="F28" s="6"/>
      <c r="G28" s="6" t="s">
        <v>34</v>
      </c>
      <c r="H28" s="6"/>
      <c r="I28" s="4" t="str">
        <f>SUBSTITUTE(SUBSTITUTE(SUBSTITUTE(SUBSTITUTE(SUBSTITUTE(SUBSTITUTE(SUBSTITUTE(SUBSTITUTE(SUBSTITUTE(SUBSTITUTE(SUBSTITUTE(Q28,"{会社}",設定!$B$3),"{自分}",設定!$B$4),"{サービス}",設定!$B$5),"{料金}",設定!$B$7),"{日付1}",設定!$B$8),"{日付2}",設定!$B$9),"{時間1}",設定!$B$10),"{時間2}",設定!$B$11),"{時間}","（指定時間）"),"{日付確定}","（確定日）"),"{時間確定}","（確定時間）")</f>
        <v/>
      </c>
      <c r="J28" s="1" t="str">
        <f>IFERROR(VLOOKUP(P28,スクリプト_フロー!$A:$F,4,FALSE),"")</f>
        <v/>
      </c>
      <c r="K28" s="6" t="s">
        <v>35</v>
      </c>
      <c r="L28" s="6"/>
      <c r="M28" s="6"/>
      <c r="N28" s="6"/>
      <c r="O28" s="1"/>
      <c r="P28" s="1" t="str">
        <f t="shared" si="0"/>
        <v>①架電|</v>
      </c>
      <c r="Q28" s="1" t="str">
        <f>IFERROR(VLOOKUP(P28,スクリプト_フロー!$A:$F,5,FALSE),"")</f>
        <v/>
      </c>
      <c r="R28" s="6" t="str">
        <f t="shared" si="8"/>
        <v/>
      </c>
      <c r="S28" s="6"/>
      <c r="T28" s="4" t="str">
        <f>IF(DA28="","",SUBSTITUTE(SUBSTITUTE(SUBSTITUTE(SUBSTITUTE(SUBSTITUTE(SUBSTITUTE(SUBSTITUTE(SUBSTITUTE(SUBSTITUTE(SUBSTITUTE(SUBSTITUTE(DA28,"{会社}",設定!$B$3),"{自分}",設定!$B$4),"{サービス}",設定!$B$5),"{料金}",設定!$B$7),"{日付1}",設定!$B$8),"{日付2}",設定!$B$9),"{時間1}",設定!$B$10),"{時間2}",設定!$B$11),"{時間}","（指定時間）"),"{日付確定}","（確定日）"),"{時間確定}","（確定時間）"))</f>
        <v/>
      </c>
      <c r="U28" s="1" t="str">
        <f>IFERROR(VLOOKUP(CZ28,スクリプト_フロー!$A:$F,4,FALSE),"")</f>
        <v/>
      </c>
      <c r="V28" s="6" t="str">
        <f t="shared" si="1"/>
        <v/>
      </c>
      <c r="W28" s="6"/>
      <c r="X28" s="4" t="str">
        <f>IF(DC28="","",SUBSTITUTE(SUBSTITUTE(SUBSTITUTE(SUBSTITUTE(SUBSTITUTE(SUBSTITUTE(SUBSTITUTE(SUBSTITUTE(SUBSTITUTE(SUBSTITUTE(SUBSTITUTE(DC28,"{会社}",設定!$B$3),"{自分}",設定!$B$4),"{サービス}",設定!$B$5),"{料金}",設定!$B$7),"{日付1}",設定!$B$8),"{日付2}",設定!$B$9),"{時間1}",設定!$B$10),"{時間2}",設定!$B$11),"{時間}","（指定時間）"),"{日付確定}","（確定日）"),"{時間確定}","（確定時間）"))</f>
        <v/>
      </c>
      <c r="Y28" s="1" t="str">
        <f>IFERROR(VLOOKUP(DB28,スクリプト_フロー!$A:$F,4,FALSE),"")</f>
        <v/>
      </c>
      <c r="Z28" s="6" t="str">
        <f t="shared" si="2"/>
        <v/>
      </c>
      <c r="AA28" s="6"/>
      <c r="AB28" s="4" t="str">
        <f>IF(DE28="","",SUBSTITUTE(SUBSTITUTE(SUBSTITUTE(SUBSTITUTE(SUBSTITUTE(SUBSTITUTE(SUBSTITUTE(SUBSTITUTE(SUBSTITUTE(SUBSTITUTE(SUBSTITUTE(DE28,"{会社}",設定!$B$3),"{自分}",設定!$B$4),"{サービス}",設定!$B$5),"{料金}",設定!$B$7),"{日付1}",設定!$B$8),"{日付2}",設定!$B$9),"{時間1}",設定!$B$10),"{時間2}",設定!$B$11),"{時間}","（指定時間）"),"{日付確定}","（確定日）"),"{時間確定}","（確定時間）"))</f>
        <v/>
      </c>
      <c r="AC28" s="1" t="str">
        <f>IFERROR(VLOOKUP(DD28,スクリプト_フロー!$A:$F,4,FALSE),"")</f>
        <v/>
      </c>
      <c r="AD28" s="6" t="str">
        <f t="shared" si="3"/>
        <v/>
      </c>
      <c r="AE28" s="6"/>
      <c r="AF28" s="4" t="str">
        <f>IF(DG28="","",SUBSTITUTE(SUBSTITUTE(SUBSTITUTE(SUBSTITUTE(SUBSTITUTE(SUBSTITUTE(SUBSTITUTE(SUBSTITUTE(SUBSTITUTE(SUBSTITUTE(SUBSTITUTE(DG28,"{会社}",設定!$B$3),"{自分}",設定!$B$4),"{サービス}",設定!$B$5),"{料金}",設定!$B$7),"{日付1}",設定!$B$8),"{日付2}",設定!$B$9),"{時間1}",設定!$B$10),"{時間2}",設定!$B$11),"{時間}","（指定時間）"),"{日付確定}","（確定日）"),"{時間確定}","（確定時間）"))</f>
        <v/>
      </c>
      <c r="AG28" s="1" t="str">
        <f>IFERROR(VLOOKUP(DF28,スクリプト_フロー!$A:$F,4,FALSE),"")</f>
        <v/>
      </c>
      <c r="CZ28" s="1" t="str">
        <f t="shared" si="4"/>
        <v>|</v>
      </c>
      <c r="DA28" s="1" t="str">
        <f>IFERROR(VLOOKUP(CZ28,スクリプト_フロー!$A:$F,5,FALSE),"")</f>
        <v/>
      </c>
      <c r="DB28" s="1" t="str">
        <f t="shared" si="5"/>
        <v>|</v>
      </c>
      <c r="DC28" s="1" t="str">
        <f>IFERROR(VLOOKUP(DB28,スクリプト_フロー!$A:$F,5,FALSE),"")</f>
        <v/>
      </c>
      <c r="DD28" s="1" t="str">
        <f t="shared" si="6"/>
        <v>|</v>
      </c>
      <c r="DE28" s="1" t="str">
        <f>IFERROR(VLOOKUP(DD28,スクリプト_フロー!$A:$F,5,FALSE),"")</f>
        <v/>
      </c>
      <c r="DF28" s="1" t="str">
        <f t="shared" si="7"/>
        <v>|</v>
      </c>
      <c r="DG28" s="1" t="str">
        <f>IFERROR(VLOOKUP(DF28,スクリプト_フロー!$A:$F,5,FALSE),"")</f>
        <v/>
      </c>
    </row>
    <row r="29" spans="1:111" ht="21">
      <c r="A29" s="1">
        <v>28</v>
      </c>
      <c r="B29" s="1" t="s">
        <v>138</v>
      </c>
      <c r="C29" s="1" t="s">
        <v>139</v>
      </c>
      <c r="D29" s="1" t="s">
        <v>62</v>
      </c>
      <c r="E29" s="6"/>
      <c r="F29" s="6"/>
      <c r="G29" s="6" t="s">
        <v>34</v>
      </c>
      <c r="H29" s="6"/>
      <c r="I29" s="4" t="str">
        <f>SUBSTITUTE(SUBSTITUTE(SUBSTITUTE(SUBSTITUTE(SUBSTITUTE(SUBSTITUTE(SUBSTITUTE(SUBSTITUTE(SUBSTITUTE(SUBSTITUTE(SUBSTITUTE(Q29,"{会社}",設定!$B$3),"{自分}",設定!$B$4),"{サービス}",設定!$B$5),"{料金}",設定!$B$7),"{日付1}",設定!$B$8),"{日付2}",設定!$B$9),"{時間1}",設定!$B$10),"{時間2}",設定!$B$11),"{時間}","（指定時間）"),"{日付確定}","（確定日）"),"{時間確定}","（確定時間）")</f>
        <v/>
      </c>
      <c r="J29" s="1" t="str">
        <f>IFERROR(VLOOKUP(P29,スクリプト_フロー!$A:$F,4,FALSE),"")</f>
        <v/>
      </c>
      <c r="K29" s="6" t="s">
        <v>35</v>
      </c>
      <c r="L29" s="6"/>
      <c r="M29" s="6"/>
      <c r="N29" s="6"/>
      <c r="O29" s="1"/>
      <c r="P29" s="1" t="str">
        <f t="shared" si="0"/>
        <v>①架電|</v>
      </c>
      <c r="Q29" s="1" t="str">
        <f>IFERROR(VLOOKUP(P29,スクリプト_フロー!$A:$F,5,FALSE),"")</f>
        <v/>
      </c>
      <c r="R29" s="6" t="str">
        <f t="shared" si="8"/>
        <v/>
      </c>
      <c r="S29" s="6"/>
      <c r="T29" s="4" t="str">
        <f>IF(DA29="","",SUBSTITUTE(SUBSTITUTE(SUBSTITUTE(SUBSTITUTE(SUBSTITUTE(SUBSTITUTE(SUBSTITUTE(SUBSTITUTE(SUBSTITUTE(SUBSTITUTE(SUBSTITUTE(DA29,"{会社}",設定!$B$3),"{自分}",設定!$B$4),"{サービス}",設定!$B$5),"{料金}",設定!$B$7),"{日付1}",設定!$B$8),"{日付2}",設定!$B$9),"{時間1}",設定!$B$10),"{時間2}",設定!$B$11),"{時間}","（指定時間）"),"{日付確定}","（確定日）"),"{時間確定}","（確定時間）"))</f>
        <v/>
      </c>
      <c r="U29" s="1" t="str">
        <f>IFERROR(VLOOKUP(CZ29,スクリプト_フロー!$A:$F,4,FALSE),"")</f>
        <v/>
      </c>
      <c r="V29" s="6" t="str">
        <f t="shared" si="1"/>
        <v/>
      </c>
      <c r="W29" s="6"/>
      <c r="X29" s="4" t="str">
        <f>IF(DC29="","",SUBSTITUTE(SUBSTITUTE(SUBSTITUTE(SUBSTITUTE(SUBSTITUTE(SUBSTITUTE(SUBSTITUTE(SUBSTITUTE(SUBSTITUTE(SUBSTITUTE(SUBSTITUTE(DC29,"{会社}",設定!$B$3),"{自分}",設定!$B$4),"{サービス}",設定!$B$5),"{料金}",設定!$B$7),"{日付1}",設定!$B$8),"{日付2}",設定!$B$9),"{時間1}",設定!$B$10),"{時間2}",設定!$B$11),"{時間}","（指定時間）"),"{日付確定}","（確定日）"),"{時間確定}","（確定時間）"))</f>
        <v/>
      </c>
      <c r="Y29" s="1" t="str">
        <f>IFERROR(VLOOKUP(DB29,スクリプト_フロー!$A:$F,4,FALSE),"")</f>
        <v/>
      </c>
      <c r="Z29" s="6" t="str">
        <f t="shared" si="2"/>
        <v/>
      </c>
      <c r="AA29" s="6"/>
      <c r="AB29" s="4" t="str">
        <f>IF(DE29="","",SUBSTITUTE(SUBSTITUTE(SUBSTITUTE(SUBSTITUTE(SUBSTITUTE(SUBSTITUTE(SUBSTITUTE(SUBSTITUTE(SUBSTITUTE(SUBSTITUTE(SUBSTITUTE(DE29,"{会社}",設定!$B$3),"{自分}",設定!$B$4),"{サービス}",設定!$B$5),"{料金}",設定!$B$7),"{日付1}",設定!$B$8),"{日付2}",設定!$B$9),"{時間1}",設定!$B$10),"{時間2}",設定!$B$11),"{時間}","（指定時間）"),"{日付確定}","（確定日）"),"{時間確定}","（確定時間）"))</f>
        <v/>
      </c>
      <c r="AC29" s="1" t="str">
        <f>IFERROR(VLOOKUP(DD29,スクリプト_フロー!$A:$F,4,FALSE),"")</f>
        <v/>
      </c>
      <c r="AD29" s="6" t="str">
        <f t="shared" si="3"/>
        <v/>
      </c>
      <c r="AE29" s="6"/>
      <c r="AF29" s="4" t="str">
        <f>IF(DG29="","",SUBSTITUTE(SUBSTITUTE(SUBSTITUTE(SUBSTITUTE(SUBSTITUTE(SUBSTITUTE(SUBSTITUTE(SUBSTITUTE(SUBSTITUTE(SUBSTITUTE(SUBSTITUTE(DG29,"{会社}",設定!$B$3),"{自分}",設定!$B$4),"{サービス}",設定!$B$5),"{料金}",設定!$B$7),"{日付1}",設定!$B$8),"{日付2}",設定!$B$9),"{時間1}",設定!$B$10),"{時間2}",設定!$B$11),"{時間}","（指定時間）"),"{日付確定}","（確定日）"),"{時間確定}","（確定時間）"))</f>
        <v/>
      </c>
      <c r="AG29" s="1" t="str">
        <f>IFERROR(VLOOKUP(DF29,スクリプト_フロー!$A:$F,4,FALSE),"")</f>
        <v/>
      </c>
      <c r="CZ29" s="1" t="str">
        <f t="shared" si="4"/>
        <v>|</v>
      </c>
      <c r="DA29" s="1" t="str">
        <f>IFERROR(VLOOKUP(CZ29,スクリプト_フロー!$A:$F,5,FALSE),"")</f>
        <v/>
      </c>
      <c r="DB29" s="1" t="str">
        <f t="shared" si="5"/>
        <v>|</v>
      </c>
      <c r="DC29" s="1" t="str">
        <f>IFERROR(VLOOKUP(DB29,スクリプト_フロー!$A:$F,5,FALSE),"")</f>
        <v/>
      </c>
      <c r="DD29" s="1" t="str">
        <f t="shared" si="6"/>
        <v>|</v>
      </c>
      <c r="DE29" s="1" t="str">
        <f>IFERROR(VLOOKUP(DD29,スクリプト_フロー!$A:$F,5,FALSE),"")</f>
        <v/>
      </c>
      <c r="DF29" s="1" t="str">
        <f t="shared" si="7"/>
        <v>|</v>
      </c>
      <c r="DG29" s="1" t="str">
        <f>IFERROR(VLOOKUP(DF29,スクリプト_フロー!$A:$F,5,FALSE),"")</f>
        <v/>
      </c>
    </row>
    <row r="30" spans="1:111" ht="21">
      <c r="A30" s="1">
        <v>29</v>
      </c>
      <c r="B30" s="1" t="s">
        <v>140</v>
      </c>
      <c r="C30" s="1" t="s">
        <v>141</v>
      </c>
      <c r="D30" s="1" t="s">
        <v>39</v>
      </c>
      <c r="E30" s="6"/>
      <c r="F30" s="6"/>
      <c r="G30" s="6" t="s">
        <v>34</v>
      </c>
      <c r="H30" s="6"/>
      <c r="I30" s="4" t="str">
        <f>SUBSTITUTE(SUBSTITUTE(SUBSTITUTE(SUBSTITUTE(SUBSTITUTE(SUBSTITUTE(SUBSTITUTE(SUBSTITUTE(SUBSTITUTE(SUBSTITUTE(SUBSTITUTE(Q30,"{会社}",設定!$B$3),"{自分}",設定!$B$4),"{サービス}",設定!$B$5),"{料金}",設定!$B$7),"{日付1}",設定!$B$8),"{日付2}",設定!$B$9),"{時間1}",設定!$B$10),"{時間2}",設定!$B$11),"{時間}","（指定時間）"),"{日付確定}","（確定日）"),"{時間確定}","（確定時間）")</f>
        <v/>
      </c>
      <c r="J30" s="1" t="str">
        <f>IFERROR(VLOOKUP(P30,スクリプト_フロー!$A:$F,4,FALSE),"")</f>
        <v/>
      </c>
      <c r="K30" s="6" t="s">
        <v>35</v>
      </c>
      <c r="L30" s="6"/>
      <c r="M30" s="6"/>
      <c r="N30" s="6"/>
      <c r="O30" s="1"/>
      <c r="P30" s="1" t="str">
        <f t="shared" si="0"/>
        <v>①架電|</v>
      </c>
      <c r="Q30" s="1" t="str">
        <f>IFERROR(VLOOKUP(P30,スクリプト_フロー!$A:$F,5,FALSE),"")</f>
        <v/>
      </c>
      <c r="R30" s="6" t="str">
        <f t="shared" si="8"/>
        <v/>
      </c>
      <c r="S30" s="6"/>
      <c r="T30" s="4" t="str">
        <f>IF(DA30="","",SUBSTITUTE(SUBSTITUTE(SUBSTITUTE(SUBSTITUTE(SUBSTITUTE(SUBSTITUTE(SUBSTITUTE(SUBSTITUTE(SUBSTITUTE(SUBSTITUTE(SUBSTITUTE(DA30,"{会社}",設定!$B$3),"{自分}",設定!$B$4),"{サービス}",設定!$B$5),"{料金}",設定!$B$7),"{日付1}",設定!$B$8),"{日付2}",設定!$B$9),"{時間1}",設定!$B$10),"{時間2}",設定!$B$11),"{時間}","（指定時間）"),"{日付確定}","（確定日）"),"{時間確定}","（確定時間）"))</f>
        <v/>
      </c>
      <c r="U30" s="1" t="str">
        <f>IFERROR(VLOOKUP(CZ30,スクリプト_フロー!$A:$F,4,FALSE),"")</f>
        <v/>
      </c>
      <c r="V30" s="6" t="str">
        <f t="shared" si="1"/>
        <v/>
      </c>
      <c r="W30" s="6"/>
      <c r="X30" s="4" t="str">
        <f>IF(DC30="","",SUBSTITUTE(SUBSTITUTE(SUBSTITUTE(SUBSTITUTE(SUBSTITUTE(SUBSTITUTE(SUBSTITUTE(SUBSTITUTE(SUBSTITUTE(SUBSTITUTE(SUBSTITUTE(DC30,"{会社}",設定!$B$3),"{自分}",設定!$B$4),"{サービス}",設定!$B$5),"{料金}",設定!$B$7),"{日付1}",設定!$B$8),"{日付2}",設定!$B$9),"{時間1}",設定!$B$10),"{時間2}",設定!$B$11),"{時間}","（指定時間）"),"{日付確定}","（確定日）"),"{時間確定}","（確定時間）"))</f>
        <v/>
      </c>
      <c r="Y30" s="1" t="str">
        <f>IFERROR(VLOOKUP(DB30,スクリプト_フロー!$A:$F,4,FALSE),"")</f>
        <v/>
      </c>
      <c r="Z30" s="6" t="str">
        <f t="shared" si="2"/>
        <v/>
      </c>
      <c r="AA30" s="6"/>
      <c r="AB30" s="4" t="str">
        <f>IF(DE30="","",SUBSTITUTE(SUBSTITUTE(SUBSTITUTE(SUBSTITUTE(SUBSTITUTE(SUBSTITUTE(SUBSTITUTE(SUBSTITUTE(SUBSTITUTE(SUBSTITUTE(SUBSTITUTE(DE30,"{会社}",設定!$B$3),"{自分}",設定!$B$4),"{サービス}",設定!$B$5),"{料金}",設定!$B$7),"{日付1}",設定!$B$8),"{日付2}",設定!$B$9),"{時間1}",設定!$B$10),"{時間2}",設定!$B$11),"{時間}","（指定時間）"),"{日付確定}","（確定日）"),"{時間確定}","（確定時間）"))</f>
        <v/>
      </c>
      <c r="AC30" s="1" t="str">
        <f>IFERROR(VLOOKUP(DD30,スクリプト_フロー!$A:$F,4,FALSE),"")</f>
        <v/>
      </c>
      <c r="AD30" s="6" t="str">
        <f t="shared" si="3"/>
        <v/>
      </c>
      <c r="AE30" s="6"/>
      <c r="AF30" s="4" t="str">
        <f>IF(DG30="","",SUBSTITUTE(SUBSTITUTE(SUBSTITUTE(SUBSTITUTE(SUBSTITUTE(SUBSTITUTE(SUBSTITUTE(SUBSTITUTE(SUBSTITUTE(SUBSTITUTE(SUBSTITUTE(DG30,"{会社}",設定!$B$3),"{自分}",設定!$B$4),"{サービス}",設定!$B$5),"{料金}",設定!$B$7),"{日付1}",設定!$B$8),"{日付2}",設定!$B$9),"{時間1}",設定!$B$10),"{時間2}",設定!$B$11),"{時間}","（指定時間）"),"{日付確定}","（確定日）"),"{時間確定}","（確定時間）"))</f>
        <v/>
      </c>
      <c r="AG30" s="1" t="str">
        <f>IFERROR(VLOOKUP(DF30,スクリプト_フロー!$A:$F,4,FALSE),"")</f>
        <v/>
      </c>
      <c r="CZ30" s="1" t="str">
        <f t="shared" si="4"/>
        <v>|</v>
      </c>
      <c r="DA30" s="1" t="str">
        <f>IFERROR(VLOOKUP(CZ30,スクリプト_フロー!$A:$F,5,FALSE),"")</f>
        <v/>
      </c>
      <c r="DB30" s="1" t="str">
        <f t="shared" si="5"/>
        <v>|</v>
      </c>
      <c r="DC30" s="1" t="str">
        <f>IFERROR(VLOOKUP(DB30,スクリプト_フロー!$A:$F,5,FALSE),"")</f>
        <v/>
      </c>
      <c r="DD30" s="1" t="str">
        <f t="shared" si="6"/>
        <v>|</v>
      </c>
      <c r="DE30" s="1" t="str">
        <f>IFERROR(VLOOKUP(DD30,スクリプト_フロー!$A:$F,5,FALSE),"")</f>
        <v/>
      </c>
      <c r="DF30" s="1" t="str">
        <f t="shared" si="7"/>
        <v>|</v>
      </c>
      <c r="DG30" s="1" t="str">
        <f>IFERROR(VLOOKUP(DF30,スクリプト_フロー!$A:$F,5,FALSE),"")</f>
        <v/>
      </c>
    </row>
    <row r="31" spans="1:111" ht="21">
      <c r="A31" s="1">
        <v>30</v>
      </c>
      <c r="B31" s="1" t="s">
        <v>142</v>
      </c>
      <c r="C31" s="1" t="s">
        <v>137</v>
      </c>
      <c r="D31" s="1" t="s">
        <v>143</v>
      </c>
      <c r="E31" s="6"/>
      <c r="F31" s="6"/>
      <c r="G31" s="6" t="s">
        <v>34</v>
      </c>
      <c r="H31" s="6"/>
      <c r="I31" s="4" t="str">
        <f>SUBSTITUTE(SUBSTITUTE(SUBSTITUTE(SUBSTITUTE(SUBSTITUTE(SUBSTITUTE(SUBSTITUTE(SUBSTITUTE(SUBSTITUTE(SUBSTITUTE(SUBSTITUTE(Q31,"{会社}",設定!$B$3),"{自分}",設定!$B$4),"{サービス}",設定!$B$5),"{料金}",設定!$B$7),"{日付1}",設定!$B$8),"{日付2}",設定!$B$9),"{時間1}",設定!$B$10),"{時間2}",設定!$B$11),"{時間}","（指定時間）"),"{日付確定}","（確定日）"),"{時間確定}","（確定時間）")</f>
        <v/>
      </c>
      <c r="J31" s="1" t="str">
        <f>IFERROR(VLOOKUP(P31,スクリプト_フロー!$A:$F,4,FALSE),"")</f>
        <v/>
      </c>
      <c r="K31" s="6" t="s">
        <v>35</v>
      </c>
      <c r="L31" s="6"/>
      <c r="M31" s="6"/>
      <c r="N31" s="6"/>
      <c r="O31" s="1"/>
      <c r="P31" s="1" t="str">
        <f t="shared" si="0"/>
        <v>①架電|</v>
      </c>
      <c r="Q31" s="1" t="str">
        <f>IFERROR(VLOOKUP(P31,スクリプト_フロー!$A:$F,5,FALSE),"")</f>
        <v/>
      </c>
      <c r="R31" s="6" t="str">
        <f t="shared" si="8"/>
        <v/>
      </c>
      <c r="S31" s="6"/>
      <c r="T31" s="4" t="str">
        <f>IF(DA31="","",SUBSTITUTE(SUBSTITUTE(SUBSTITUTE(SUBSTITUTE(SUBSTITUTE(SUBSTITUTE(SUBSTITUTE(SUBSTITUTE(SUBSTITUTE(SUBSTITUTE(SUBSTITUTE(DA31,"{会社}",設定!$B$3),"{自分}",設定!$B$4),"{サービス}",設定!$B$5),"{料金}",設定!$B$7),"{日付1}",設定!$B$8),"{日付2}",設定!$B$9),"{時間1}",設定!$B$10),"{時間2}",設定!$B$11),"{時間}","（指定時間）"),"{日付確定}","（確定日）"),"{時間確定}","（確定時間）"))</f>
        <v/>
      </c>
      <c r="U31" s="1" t="str">
        <f>IFERROR(VLOOKUP(CZ31,スクリプト_フロー!$A:$F,4,FALSE),"")</f>
        <v/>
      </c>
      <c r="V31" s="6" t="str">
        <f t="shared" si="1"/>
        <v/>
      </c>
      <c r="W31" s="6"/>
      <c r="X31" s="4" t="str">
        <f>IF(DC31="","",SUBSTITUTE(SUBSTITUTE(SUBSTITUTE(SUBSTITUTE(SUBSTITUTE(SUBSTITUTE(SUBSTITUTE(SUBSTITUTE(SUBSTITUTE(SUBSTITUTE(SUBSTITUTE(DC31,"{会社}",設定!$B$3),"{自分}",設定!$B$4),"{サービス}",設定!$B$5),"{料金}",設定!$B$7),"{日付1}",設定!$B$8),"{日付2}",設定!$B$9),"{時間1}",設定!$B$10),"{時間2}",設定!$B$11),"{時間}","（指定時間）"),"{日付確定}","（確定日）"),"{時間確定}","（確定時間）"))</f>
        <v/>
      </c>
      <c r="Y31" s="1" t="str">
        <f>IFERROR(VLOOKUP(DB31,スクリプト_フロー!$A:$F,4,FALSE),"")</f>
        <v/>
      </c>
      <c r="Z31" s="6" t="str">
        <f t="shared" si="2"/>
        <v/>
      </c>
      <c r="AA31" s="6"/>
      <c r="AB31" s="4" t="str">
        <f>IF(DE31="","",SUBSTITUTE(SUBSTITUTE(SUBSTITUTE(SUBSTITUTE(SUBSTITUTE(SUBSTITUTE(SUBSTITUTE(SUBSTITUTE(SUBSTITUTE(SUBSTITUTE(SUBSTITUTE(DE31,"{会社}",設定!$B$3),"{自分}",設定!$B$4),"{サービス}",設定!$B$5),"{料金}",設定!$B$7),"{日付1}",設定!$B$8),"{日付2}",設定!$B$9),"{時間1}",設定!$B$10),"{時間2}",設定!$B$11),"{時間}","（指定時間）"),"{日付確定}","（確定日）"),"{時間確定}","（確定時間）"))</f>
        <v/>
      </c>
      <c r="AC31" s="1" t="str">
        <f>IFERROR(VLOOKUP(DD31,スクリプト_フロー!$A:$F,4,FALSE),"")</f>
        <v/>
      </c>
      <c r="AD31" s="6" t="str">
        <f t="shared" si="3"/>
        <v/>
      </c>
      <c r="AE31" s="6"/>
      <c r="AF31" s="4" t="str">
        <f>IF(DG31="","",SUBSTITUTE(SUBSTITUTE(SUBSTITUTE(SUBSTITUTE(SUBSTITUTE(SUBSTITUTE(SUBSTITUTE(SUBSTITUTE(SUBSTITUTE(SUBSTITUTE(SUBSTITUTE(DG31,"{会社}",設定!$B$3),"{自分}",設定!$B$4),"{サービス}",設定!$B$5),"{料金}",設定!$B$7),"{日付1}",設定!$B$8),"{日付2}",設定!$B$9),"{時間1}",設定!$B$10),"{時間2}",設定!$B$11),"{時間}","（指定時間）"),"{日付確定}","（確定日）"),"{時間確定}","（確定時間）"))</f>
        <v/>
      </c>
      <c r="AG31" s="1" t="str">
        <f>IFERROR(VLOOKUP(DF31,スクリプト_フロー!$A:$F,4,FALSE),"")</f>
        <v/>
      </c>
      <c r="CZ31" s="1" t="str">
        <f t="shared" si="4"/>
        <v>|</v>
      </c>
      <c r="DA31" s="1" t="str">
        <f>IFERROR(VLOOKUP(CZ31,スクリプト_フロー!$A:$F,5,FALSE),"")</f>
        <v/>
      </c>
      <c r="DB31" s="1" t="str">
        <f t="shared" si="5"/>
        <v>|</v>
      </c>
      <c r="DC31" s="1" t="str">
        <f>IFERROR(VLOOKUP(DB31,スクリプト_フロー!$A:$F,5,FALSE),"")</f>
        <v/>
      </c>
      <c r="DD31" s="1" t="str">
        <f t="shared" si="6"/>
        <v>|</v>
      </c>
      <c r="DE31" s="1" t="str">
        <f>IFERROR(VLOOKUP(DD31,スクリプト_フロー!$A:$F,5,FALSE),"")</f>
        <v/>
      </c>
      <c r="DF31" s="1" t="str">
        <f t="shared" si="7"/>
        <v>|</v>
      </c>
      <c r="DG31" s="1" t="str">
        <f>IFERROR(VLOOKUP(DF31,スクリプト_フロー!$A:$F,5,FALSE),"")</f>
        <v/>
      </c>
    </row>
    <row r="32" spans="1:111" ht="21">
      <c r="A32" s="1">
        <v>31</v>
      </c>
      <c r="B32" s="1" t="s">
        <v>144</v>
      </c>
      <c r="C32" s="1" t="s">
        <v>145</v>
      </c>
      <c r="D32" s="1" t="s">
        <v>143</v>
      </c>
      <c r="E32" s="6"/>
      <c r="F32" s="6"/>
      <c r="G32" s="6" t="s">
        <v>34</v>
      </c>
      <c r="H32" s="6"/>
      <c r="I32" s="4" t="str">
        <f>SUBSTITUTE(SUBSTITUTE(SUBSTITUTE(SUBSTITUTE(SUBSTITUTE(SUBSTITUTE(SUBSTITUTE(SUBSTITUTE(SUBSTITUTE(SUBSTITUTE(SUBSTITUTE(Q32,"{会社}",設定!$B$3),"{自分}",設定!$B$4),"{サービス}",設定!$B$5),"{料金}",設定!$B$7),"{日付1}",設定!$B$8),"{日付2}",設定!$B$9),"{時間1}",設定!$B$10),"{時間2}",設定!$B$11),"{時間}","（指定時間）"),"{日付確定}","（確定日）"),"{時間確定}","（確定時間）")</f>
        <v/>
      </c>
      <c r="J32" s="1" t="str">
        <f>IFERROR(VLOOKUP(P32,スクリプト_フロー!$A:$F,4,FALSE),"")</f>
        <v/>
      </c>
      <c r="K32" s="6" t="s">
        <v>35</v>
      </c>
      <c r="L32" s="6"/>
      <c r="M32" s="6"/>
      <c r="N32" s="6"/>
      <c r="O32" s="1"/>
      <c r="P32" s="1" t="str">
        <f t="shared" si="0"/>
        <v>①架電|</v>
      </c>
      <c r="Q32" s="1" t="str">
        <f>IFERROR(VLOOKUP(P32,スクリプト_フロー!$A:$F,5,FALSE),"")</f>
        <v/>
      </c>
      <c r="R32" s="6" t="str">
        <f t="shared" si="8"/>
        <v/>
      </c>
      <c r="S32" s="6"/>
      <c r="T32" s="4" t="str">
        <f>IF(DA32="","",SUBSTITUTE(SUBSTITUTE(SUBSTITUTE(SUBSTITUTE(SUBSTITUTE(SUBSTITUTE(SUBSTITUTE(SUBSTITUTE(SUBSTITUTE(SUBSTITUTE(SUBSTITUTE(DA32,"{会社}",設定!$B$3),"{自分}",設定!$B$4),"{サービス}",設定!$B$5),"{料金}",設定!$B$7),"{日付1}",設定!$B$8),"{日付2}",設定!$B$9),"{時間1}",設定!$B$10),"{時間2}",設定!$B$11),"{時間}","（指定時間）"),"{日付確定}","（確定日）"),"{時間確定}","（確定時間）"))</f>
        <v/>
      </c>
      <c r="U32" s="1" t="str">
        <f>IFERROR(VLOOKUP(CZ32,スクリプト_フロー!$A:$F,4,FALSE),"")</f>
        <v/>
      </c>
      <c r="V32" s="6" t="str">
        <f t="shared" si="1"/>
        <v/>
      </c>
      <c r="W32" s="6"/>
      <c r="X32" s="4" t="str">
        <f>IF(DC32="","",SUBSTITUTE(SUBSTITUTE(SUBSTITUTE(SUBSTITUTE(SUBSTITUTE(SUBSTITUTE(SUBSTITUTE(SUBSTITUTE(SUBSTITUTE(SUBSTITUTE(SUBSTITUTE(DC32,"{会社}",設定!$B$3),"{自分}",設定!$B$4),"{サービス}",設定!$B$5),"{料金}",設定!$B$7),"{日付1}",設定!$B$8),"{日付2}",設定!$B$9),"{時間1}",設定!$B$10),"{時間2}",設定!$B$11),"{時間}","（指定時間）"),"{日付確定}","（確定日）"),"{時間確定}","（確定時間）"))</f>
        <v/>
      </c>
      <c r="Y32" s="1" t="str">
        <f>IFERROR(VLOOKUP(DB32,スクリプト_フロー!$A:$F,4,FALSE),"")</f>
        <v/>
      </c>
      <c r="Z32" s="6" t="str">
        <f t="shared" si="2"/>
        <v/>
      </c>
      <c r="AA32" s="6"/>
      <c r="AB32" s="4" t="str">
        <f>IF(DE32="","",SUBSTITUTE(SUBSTITUTE(SUBSTITUTE(SUBSTITUTE(SUBSTITUTE(SUBSTITUTE(SUBSTITUTE(SUBSTITUTE(SUBSTITUTE(SUBSTITUTE(SUBSTITUTE(DE32,"{会社}",設定!$B$3),"{自分}",設定!$B$4),"{サービス}",設定!$B$5),"{料金}",設定!$B$7),"{日付1}",設定!$B$8),"{日付2}",設定!$B$9),"{時間1}",設定!$B$10),"{時間2}",設定!$B$11),"{時間}","（指定時間）"),"{日付確定}","（確定日）"),"{時間確定}","（確定時間）"))</f>
        <v/>
      </c>
      <c r="AC32" s="1" t="str">
        <f>IFERROR(VLOOKUP(DD32,スクリプト_フロー!$A:$F,4,FALSE),"")</f>
        <v/>
      </c>
      <c r="AD32" s="6" t="str">
        <f t="shared" si="3"/>
        <v/>
      </c>
      <c r="AE32" s="6"/>
      <c r="AF32" s="4" t="str">
        <f>IF(DG32="","",SUBSTITUTE(SUBSTITUTE(SUBSTITUTE(SUBSTITUTE(SUBSTITUTE(SUBSTITUTE(SUBSTITUTE(SUBSTITUTE(SUBSTITUTE(SUBSTITUTE(SUBSTITUTE(DG32,"{会社}",設定!$B$3),"{自分}",設定!$B$4),"{サービス}",設定!$B$5),"{料金}",設定!$B$7),"{日付1}",設定!$B$8),"{日付2}",設定!$B$9),"{時間1}",設定!$B$10),"{時間2}",設定!$B$11),"{時間}","（指定時間）"),"{日付確定}","（確定日）"),"{時間確定}","（確定時間）"))</f>
        <v/>
      </c>
      <c r="AG32" s="1" t="str">
        <f>IFERROR(VLOOKUP(DF32,スクリプト_フロー!$A:$F,4,FALSE),"")</f>
        <v/>
      </c>
      <c r="CZ32" s="1" t="str">
        <f t="shared" si="4"/>
        <v>|</v>
      </c>
      <c r="DA32" s="1" t="str">
        <f>IFERROR(VLOOKUP(CZ32,スクリプト_フロー!$A:$F,5,FALSE),"")</f>
        <v/>
      </c>
      <c r="DB32" s="1" t="str">
        <f t="shared" si="5"/>
        <v>|</v>
      </c>
      <c r="DC32" s="1" t="str">
        <f>IFERROR(VLOOKUP(DB32,スクリプト_フロー!$A:$F,5,FALSE),"")</f>
        <v/>
      </c>
      <c r="DD32" s="1" t="str">
        <f t="shared" si="6"/>
        <v>|</v>
      </c>
      <c r="DE32" s="1" t="str">
        <f>IFERROR(VLOOKUP(DD32,スクリプト_フロー!$A:$F,5,FALSE),"")</f>
        <v/>
      </c>
      <c r="DF32" s="1" t="str">
        <f t="shared" si="7"/>
        <v>|</v>
      </c>
      <c r="DG32" s="1" t="str">
        <f>IFERROR(VLOOKUP(DF32,スクリプト_フロー!$A:$F,5,FALSE),"")</f>
        <v/>
      </c>
    </row>
    <row r="33" spans="1:111" ht="21">
      <c r="A33" s="1">
        <v>32</v>
      </c>
      <c r="B33" s="1" t="s">
        <v>146</v>
      </c>
      <c r="C33" s="1" t="s">
        <v>147</v>
      </c>
      <c r="D33" s="1" t="s">
        <v>148</v>
      </c>
      <c r="E33" s="6"/>
      <c r="F33" s="6"/>
      <c r="G33" s="6" t="s">
        <v>34</v>
      </c>
      <c r="H33" s="6"/>
      <c r="I33" s="4" t="str">
        <f>SUBSTITUTE(SUBSTITUTE(SUBSTITUTE(SUBSTITUTE(SUBSTITUTE(SUBSTITUTE(SUBSTITUTE(SUBSTITUTE(SUBSTITUTE(SUBSTITUTE(SUBSTITUTE(Q33,"{会社}",設定!$B$3),"{自分}",設定!$B$4),"{サービス}",設定!$B$5),"{料金}",設定!$B$7),"{日付1}",設定!$B$8),"{日付2}",設定!$B$9),"{時間1}",設定!$B$10),"{時間2}",設定!$B$11),"{時間}","（指定時間）"),"{日付確定}","（確定日）"),"{時間確定}","（確定時間）")</f>
        <v/>
      </c>
      <c r="J33" s="1" t="str">
        <f>IFERROR(VLOOKUP(P33,スクリプト_フロー!$A:$F,4,FALSE),"")</f>
        <v/>
      </c>
      <c r="K33" s="6" t="s">
        <v>35</v>
      </c>
      <c r="L33" s="6"/>
      <c r="M33" s="6"/>
      <c r="N33" s="6"/>
      <c r="O33" s="1"/>
      <c r="P33" s="1" t="str">
        <f t="shared" si="0"/>
        <v>①架電|</v>
      </c>
      <c r="Q33" s="1" t="str">
        <f>IFERROR(VLOOKUP(P33,スクリプト_フロー!$A:$F,5,FALSE),"")</f>
        <v/>
      </c>
      <c r="R33" s="6" t="str">
        <f t="shared" si="8"/>
        <v/>
      </c>
      <c r="S33" s="6"/>
      <c r="T33" s="4" t="str">
        <f>IF(DA33="","",SUBSTITUTE(SUBSTITUTE(SUBSTITUTE(SUBSTITUTE(SUBSTITUTE(SUBSTITUTE(SUBSTITUTE(SUBSTITUTE(SUBSTITUTE(SUBSTITUTE(SUBSTITUTE(DA33,"{会社}",設定!$B$3),"{自分}",設定!$B$4),"{サービス}",設定!$B$5),"{料金}",設定!$B$7),"{日付1}",設定!$B$8),"{日付2}",設定!$B$9),"{時間1}",設定!$B$10),"{時間2}",設定!$B$11),"{時間}","（指定時間）"),"{日付確定}","（確定日）"),"{時間確定}","（確定時間）"))</f>
        <v/>
      </c>
      <c r="U33" s="1" t="str">
        <f>IFERROR(VLOOKUP(CZ33,スクリプト_フロー!$A:$F,4,FALSE),"")</f>
        <v/>
      </c>
      <c r="V33" s="6" t="str">
        <f t="shared" si="1"/>
        <v/>
      </c>
      <c r="W33" s="6"/>
      <c r="X33" s="4" t="str">
        <f>IF(DC33="","",SUBSTITUTE(SUBSTITUTE(SUBSTITUTE(SUBSTITUTE(SUBSTITUTE(SUBSTITUTE(SUBSTITUTE(SUBSTITUTE(SUBSTITUTE(SUBSTITUTE(SUBSTITUTE(DC33,"{会社}",設定!$B$3),"{自分}",設定!$B$4),"{サービス}",設定!$B$5),"{料金}",設定!$B$7),"{日付1}",設定!$B$8),"{日付2}",設定!$B$9),"{時間1}",設定!$B$10),"{時間2}",設定!$B$11),"{時間}","（指定時間）"),"{日付確定}","（確定日）"),"{時間確定}","（確定時間）"))</f>
        <v/>
      </c>
      <c r="Y33" s="1" t="str">
        <f>IFERROR(VLOOKUP(DB33,スクリプト_フロー!$A:$F,4,FALSE),"")</f>
        <v/>
      </c>
      <c r="Z33" s="6" t="str">
        <f t="shared" si="2"/>
        <v/>
      </c>
      <c r="AA33" s="6"/>
      <c r="AB33" s="4" t="str">
        <f>IF(DE33="","",SUBSTITUTE(SUBSTITUTE(SUBSTITUTE(SUBSTITUTE(SUBSTITUTE(SUBSTITUTE(SUBSTITUTE(SUBSTITUTE(SUBSTITUTE(SUBSTITUTE(SUBSTITUTE(DE33,"{会社}",設定!$B$3),"{自分}",設定!$B$4),"{サービス}",設定!$B$5),"{料金}",設定!$B$7),"{日付1}",設定!$B$8),"{日付2}",設定!$B$9),"{時間1}",設定!$B$10),"{時間2}",設定!$B$11),"{時間}","（指定時間）"),"{日付確定}","（確定日）"),"{時間確定}","（確定時間）"))</f>
        <v/>
      </c>
      <c r="AC33" s="1" t="str">
        <f>IFERROR(VLOOKUP(DD33,スクリプト_フロー!$A:$F,4,FALSE),"")</f>
        <v/>
      </c>
      <c r="AD33" s="6" t="str">
        <f t="shared" si="3"/>
        <v/>
      </c>
      <c r="AE33" s="6"/>
      <c r="AF33" s="4" t="str">
        <f>IF(DG33="","",SUBSTITUTE(SUBSTITUTE(SUBSTITUTE(SUBSTITUTE(SUBSTITUTE(SUBSTITUTE(SUBSTITUTE(SUBSTITUTE(SUBSTITUTE(SUBSTITUTE(SUBSTITUTE(DG33,"{会社}",設定!$B$3),"{自分}",設定!$B$4),"{サービス}",設定!$B$5),"{料金}",設定!$B$7),"{日付1}",設定!$B$8),"{日付2}",設定!$B$9),"{時間1}",設定!$B$10),"{時間2}",設定!$B$11),"{時間}","（指定時間）"),"{日付確定}","（確定日）"),"{時間確定}","（確定時間）"))</f>
        <v/>
      </c>
      <c r="AG33" s="1" t="str">
        <f>IFERROR(VLOOKUP(DF33,スクリプト_フロー!$A:$F,4,FALSE),"")</f>
        <v/>
      </c>
      <c r="CZ33" s="1" t="str">
        <f t="shared" si="4"/>
        <v>|</v>
      </c>
      <c r="DA33" s="1" t="str">
        <f>IFERROR(VLOOKUP(CZ33,スクリプト_フロー!$A:$F,5,FALSE),"")</f>
        <v/>
      </c>
      <c r="DB33" s="1" t="str">
        <f t="shared" si="5"/>
        <v>|</v>
      </c>
      <c r="DC33" s="1" t="str">
        <f>IFERROR(VLOOKUP(DB33,スクリプト_フロー!$A:$F,5,FALSE),"")</f>
        <v/>
      </c>
      <c r="DD33" s="1" t="str">
        <f t="shared" si="6"/>
        <v>|</v>
      </c>
      <c r="DE33" s="1" t="str">
        <f>IFERROR(VLOOKUP(DD33,スクリプト_フロー!$A:$F,5,FALSE),"")</f>
        <v/>
      </c>
      <c r="DF33" s="1" t="str">
        <f t="shared" si="7"/>
        <v>|</v>
      </c>
      <c r="DG33" s="1" t="str">
        <f>IFERROR(VLOOKUP(DF33,スクリプト_フロー!$A:$F,5,FALSE),"")</f>
        <v/>
      </c>
    </row>
    <row r="34" spans="1:111" ht="21">
      <c r="A34" s="1">
        <v>33</v>
      </c>
      <c r="B34" s="1" t="s">
        <v>149</v>
      </c>
      <c r="C34" s="1" t="s">
        <v>150</v>
      </c>
      <c r="D34" s="1" t="s">
        <v>143</v>
      </c>
      <c r="E34" s="6"/>
      <c r="F34" s="6"/>
      <c r="G34" s="6" t="s">
        <v>34</v>
      </c>
      <c r="H34" s="6"/>
      <c r="I34" s="4" t="str">
        <f>SUBSTITUTE(SUBSTITUTE(SUBSTITUTE(SUBSTITUTE(SUBSTITUTE(SUBSTITUTE(SUBSTITUTE(SUBSTITUTE(SUBSTITUTE(SUBSTITUTE(SUBSTITUTE(Q34,"{会社}",設定!$B$3),"{自分}",設定!$B$4),"{サービス}",設定!$B$5),"{料金}",設定!$B$7),"{日付1}",設定!$B$8),"{日付2}",設定!$B$9),"{時間1}",設定!$B$10),"{時間2}",設定!$B$11),"{時間}","（指定時間）"),"{日付確定}","（確定日）"),"{時間確定}","（確定時間）")</f>
        <v/>
      </c>
      <c r="J34" s="1" t="str">
        <f>IFERROR(VLOOKUP(P34,スクリプト_フロー!$A:$F,4,FALSE),"")</f>
        <v/>
      </c>
      <c r="K34" s="6" t="s">
        <v>35</v>
      </c>
      <c r="L34" s="6"/>
      <c r="M34" s="6"/>
      <c r="N34" s="6"/>
      <c r="O34" s="1"/>
      <c r="P34" s="1" t="str">
        <f t="shared" ref="P34:P65" si="9">G34&amp;"|"&amp;H34</f>
        <v>①架電|</v>
      </c>
      <c r="Q34" s="1" t="str">
        <f>IFERROR(VLOOKUP(P34,スクリプト_フロー!$A:$F,5,FALSE),"")</f>
        <v/>
      </c>
      <c r="R34" s="6" t="str">
        <f t="shared" ref="R34:R65" si="10">IF(J34="","",J34)</f>
        <v/>
      </c>
      <c r="S34" s="6"/>
      <c r="T34" s="4" t="str">
        <f>IF(DA34="","",SUBSTITUTE(SUBSTITUTE(SUBSTITUTE(SUBSTITUTE(SUBSTITUTE(SUBSTITUTE(SUBSTITUTE(SUBSTITUTE(SUBSTITUTE(SUBSTITUTE(SUBSTITUTE(DA34,"{会社}",設定!$B$3),"{自分}",設定!$B$4),"{サービス}",設定!$B$5),"{料金}",設定!$B$7),"{日付1}",設定!$B$8),"{日付2}",設定!$B$9),"{時間1}",設定!$B$10),"{時間2}",設定!$B$11),"{時間}","（指定時間）"),"{日付確定}","（確定日）"),"{時間確定}","（確定時間）"))</f>
        <v/>
      </c>
      <c r="U34" s="1" t="str">
        <f>IFERROR(VLOOKUP(CZ34,スクリプト_フロー!$A:$F,4,FALSE),"")</f>
        <v/>
      </c>
      <c r="V34" s="6" t="str">
        <f t="shared" ref="V34:V65" si="11">IF(U34="","",U34)</f>
        <v/>
      </c>
      <c r="W34" s="6"/>
      <c r="X34" s="4" t="str">
        <f>IF(DC34="","",SUBSTITUTE(SUBSTITUTE(SUBSTITUTE(SUBSTITUTE(SUBSTITUTE(SUBSTITUTE(SUBSTITUTE(SUBSTITUTE(SUBSTITUTE(SUBSTITUTE(SUBSTITUTE(DC34,"{会社}",設定!$B$3),"{自分}",設定!$B$4),"{サービス}",設定!$B$5),"{料金}",設定!$B$7),"{日付1}",設定!$B$8),"{日付2}",設定!$B$9),"{時間1}",設定!$B$10),"{時間2}",設定!$B$11),"{時間}","（指定時間）"),"{日付確定}","（確定日）"),"{時間確定}","（確定時間）"))</f>
        <v/>
      </c>
      <c r="Y34" s="1" t="str">
        <f>IFERROR(VLOOKUP(DB34,スクリプト_フロー!$A:$F,4,FALSE),"")</f>
        <v/>
      </c>
      <c r="Z34" s="6" t="str">
        <f t="shared" ref="Z34:Z65" si="12">IF(Y34="","",Y34)</f>
        <v/>
      </c>
      <c r="AA34" s="6"/>
      <c r="AB34" s="4" t="str">
        <f>IF(DE34="","",SUBSTITUTE(SUBSTITUTE(SUBSTITUTE(SUBSTITUTE(SUBSTITUTE(SUBSTITUTE(SUBSTITUTE(SUBSTITUTE(SUBSTITUTE(SUBSTITUTE(SUBSTITUTE(DE34,"{会社}",設定!$B$3),"{自分}",設定!$B$4),"{サービス}",設定!$B$5),"{料金}",設定!$B$7),"{日付1}",設定!$B$8),"{日付2}",設定!$B$9),"{時間1}",設定!$B$10),"{時間2}",設定!$B$11),"{時間}","（指定時間）"),"{日付確定}","（確定日）"),"{時間確定}","（確定時間）"))</f>
        <v/>
      </c>
      <c r="AC34" s="1" t="str">
        <f>IFERROR(VLOOKUP(DD34,スクリプト_フロー!$A:$F,4,FALSE),"")</f>
        <v/>
      </c>
      <c r="AD34" s="6" t="str">
        <f t="shared" ref="AD34:AD65" si="13">IF(AC34="","",AC34)</f>
        <v/>
      </c>
      <c r="AE34" s="6"/>
      <c r="AF34" s="4" t="str">
        <f>IF(DG34="","",SUBSTITUTE(SUBSTITUTE(SUBSTITUTE(SUBSTITUTE(SUBSTITUTE(SUBSTITUTE(SUBSTITUTE(SUBSTITUTE(SUBSTITUTE(SUBSTITUTE(SUBSTITUTE(DG34,"{会社}",設定!$B$3),"{自分}",設定!$B$4),"{サービス}",設定!$B$5),"{料金}",設定!$B$7),"{日付1}",設定!$B$8),"{日付2}",設定!$B$9),"{時間1}",設定!$B$10),"{時間2}",設定!$B$11),"{時間}","（指定時間）"),"{日付確定}","（確定日）"),"{時間確定}","（確定時間）"))</f>
        <v/>
      </c>
      <c r="AG34" s="1" t="str">
        <f>IFERROR(VLOOKUP(DF34,スクリプト_フロー!$A:$F,4,FALSE),"")</f>
        <v/>
      </c>
      <c r="CZ34" s="1" t="str">
        <f t="shared" ref="CZ34:CZ65" si="14">R34&amp;"|"&amp;S34</f>
        <v>|</v>
      </c>
      <c r="DA34" s="1" t="str">
        <f>IFERROR(VLOOKUP(CZ34,スクリプト_フロー!$A:$F,5,FALSE),"")</f>
        <v/>
      </c>
      <c r="DB34" s="1" t="str">
        <f t="shared" ref="DB34:DB65" si="15">V34&amp;"|"&amp;W34</f>
        <v>|</v>
      </c>
      <c r="DC34" s="1" t="str">
        <f>IFERROR(VLOOKUP(DB34,スクリプト_フロー!$A:$F,5,FALSE),"")</f>
        <v/>
      </c>
      <c r="DD34" s="1" t="str">
        <f t="shared" ref="DD34:DD65" si="16">Z34&amp;"|"&amp;AA34</f>
        <v>|</v>
      </c>
      <c r="DE34" s="1" t="str">
        <f>IFERROR(VLOOKUP(DD34,スクリプト_フロー!$A:$F,5,FALSE),"")</f>
        <v/>
      </c>
      <c r="DF34" s="1" t="str">
        <f t="shared" ref="DF34:DF65" si="17">AD34&amp;"|"&amp;AE34</f>
        <v>|</v>
      </c>
      <c r="DG34" s="1" t="str">
        <f>IFERROR(VLOOKUP(DF34,スクリプト_フロー!$A:$F,5,FALSE),"")</f>
        <v/>
      </c>
    </row>
    <row r="35" spans="1:111" ht="21">
      <c r="A35" s="1">
        <v>34</v>
      </c>
      <c r="B35" s="1" t="s">
        <v>151</v>
      </c>
      <c r="C35" s="1" t="s">
        <v>121</v>
      </c>
      <c r="D35" s="1" t="s">
        <v>152</v>
      </c>
      <c r="E35" s="6"/>
      <c r="F35" s="6"/>
      <c r="G35" s="6" t="s">
        <v>34</v>
      </c>
      <c r="H35" s="6"/>
      <c r="I35" s="4" t="str">
        <f>SUBSTITUTE(SUBSTITUTE(SUBSTITUTE(SUBSTITUTE(SUBSTITUTE(SUBSTITUTE(SUBSTITUTE(SUBSTITUTE(SUBSTITUTE(SUBSTITUTE(SUBSTITUTE(Q35,"{会社}",設定!$B$3),"{自分}",設定!$B$4),"{サービス}",設定!$B$5),"{料金}",設定!$B$7),"{日付1}",設定!$B$8),"{日付2}",設定!$B$9),"{時間1}",設定!$B$10),"{時間2}",設定!$B$11),"{時間}","（指定時間）"),"{日付確定}","（確定日）"),"{時間確定}","（確定時間）")</f>
        <v/>
      </c>
      <c r="J35" s="1" t="str">
        <f>IFERROR(VLOOKUP(P35,スクリプト_フロー!$A:$F,4,FALSE),"")</f>
        <v/>
      </c>
      <c r="K35" s="6" t="s">
        <v>35</v>
      </c>
      <c r="L35" s="6"/>
      <c r="M35" s="6"/>
      <c r="N35" s="6"/>
      <c r="O35" s="1"/>
      <c r="P35" s="1" t="str">
        <f t="shared" si="9"/>
        <v>①架電|</v>
      </c>
      <c r="Q35" s="1" t="str">
        <f>IFERROR(VLOOKUP(P35,スクリプト_フロー!$A:$F,5,FALSE),"")</f>
        <v/>
      </c>
      <c r="R35" s="6" t="str">
        <f t="shared" si="10"/>
        <v/>
      </c>
      <c r="S35" s="6"/>
      <c r="T35" s="4" t="str">
        <f>IF(DA35="","",SUBSTITUTE(SUBSTITUTE(SUBSTITUTE(SUBSTITUTE(SUBSTITUTE(SUBSTITUTE(SUBSTITUTE(SUBSTITUTE(SUBSTITUTE(SUBSTITUTE(SUBSTITUTE(DA35,"{会社}",設定!$B$3),"{自分}",設定!$B$4),"{サービス}",設定!$B$5),"{料金}",設定!$B$7),"{日付1}",設定!$B$8),"{日付2}",設定!$B$9),"{時間1}",設定!$B$10),"{時間2}",設定!$B$11),"{時間}","（指定時間）"),"{日付確定}","（確定日）"),"{時間確定}","（確定時間）"))</f>
        <v/>
      </c>
      <c r="U35" s="1" t="str">
        <f>IFERROR(VLOOKUP(CZ35,スクリプト_フロー!$A:$F,4,FALSE),"")</f>
        <v/>
      </c>
      <c r="V35" s="6" t="str">
        <f t="shared" si="11"/>
        <v/>
      </c>
      <c r="W35" s="6"/>
      <c r="X35" s="4" t="str">
        <f>IF(DC35="","",SUBSTITUTE(SUBSTITUTE(SUBSTITUTE(SUBSTITUTE(SUBSTITUTE(SUBSTITUTE(SUBSTITUTE(SUBSTITUTE(SUBSTITUTE(SUBSTITUTE(SUBSTITUTE(DC35,"{会社}",設定!$B$3),"{自分}",設定!$B$4),"{サービス}",設定!$B$5),"{料金}",設定!$B$7),"{日付1}",設定!$B$8),"{日付2}",設定!$B$9),"{時間1}",設定!$B$10),"{時間2}",設定!$B$11),"{時間}","（指定時間）"),"{日付確定}","（確定日）"),"{時間確定}","（確定時間）"))</f>
        <v/>
      </c>
      <c r="Y35" s="1" t="str">
        <f>IFERROR(VLOOKUP(DB35,スクリプト_フロー!$A:$F,4,FALSE),"")</f>
        <v/>
      </c>
      <c r="Z35" s="6" t="str">
        <f t="shared" si="12"/>
        <v/>
      </c>
      <c r="AA35" s="6"/>
      <c r="AB35" s="4" t="str">
        <f>IF(DE35="","",SUBSTITUTE(SUBSTITUTE(SUBSTITUTE(SUBSTITUTE(SUBSTITUTE(SUBSTITUTE(SUBSTITUTE(SUBSTITUTE(SUBSTITUTE(SUBSTITUTE(SUBSTITUTE(DE35,"{会社}",設定!$B$3),"{自分}",設定!$B$4),"{サービス}",設定!$B$5),"{料金}",設定!$B$7),"{日付1}",設定!$B$8),"{日付2}",設定!$B$9),"{時間1}",設定!$B$10),"{時間2}",設定!$B$11),"{時間}","（指定時間）"),"{日付確定}","（確定日）"),"{時間確定}","（確定時間）"))</f>
        <v/>
      </c>
      <c r="AC35" s="1" t="str">
        <f>IFERROR(VLOOKUP(DD35,スクリプト_フロー!$A:$F,4,FALSE),"")</f>
        <v/>
      </c>
      <c r="AD35" s="6" t="str">
        <f t="shared" si="13"/>
        <v/>
      </c>
      <c r="AE35" s="6"/>
      <c r="AF35" s="4" t="str">
        <f>IF(DG35="","",SUBSTITUTE(SUBSTITUTE(SUBSTITUTE(SUBSTITUTE(SUBSTITUTE(SUBSTITUTE(SUBSTITUTE(SUBSTITUTE(SUBSTITUTE(SUBSTITUTE(SUBSTITUTE(DG35,"{会社}",設定!$B$3),"{自分}",設定!$B$4),"{サービス}",設定!$B$5),"{料金}",設定!$B$7),"{日付1}",設定!$B$8),"{日付2}",設定!$B$9),"{時間1}",設定!$B$10),"{時間2}",設定!$B$11),"{時間}","（指定時間）"),"{日付確定}","（確定日）"),"{時間確定}","（確定時間）"))</f>
        <v/>
      </c>
      <c r="AG35" s="1" t="str">
        <f>IFERROR(VLOOKUP(DF35,スクリプト_フロー!$A:$F,4,FALSE),"")</f>
        <v/>
      </c>
      <c r="CZ35" s="1" t="str">
        <f t="shared" si="14"/>
        <v>|</v>
      </c>
      <c r="DA35" s="1" t="str">
        <f>IFERROR(VLOOKUP(CZ35,スクリプト_フロー!$A:$F,5,FALSE),"")</f>
        <v/>
      </c>
      <c r="DB35" s="1" t="str">
        <f t="shared" si="15"/>
        <v>|</v>
      </c>
      <c r="DC35" s="1" t="str">
        <f>IFERROR(VLOOKUP(DB35,スクリプト_フロー!$A:$F,5,FALSE),"")</f>
        <v/>
      </c>
      <c r="DD35" s="1" t="str">
        <f t="shared" si="16"/>
        <v>|</v>
      </c>
      <c r="DE35" s="1" t="str">
        <f>IFERROR(VLOOKUP(DD35,スクリプト_フロー!$A:$F,5,FALSE),"")</f>
        <v/>
      </c>
      <c r="DF35" s="1" t="str">
        <f t="shared" si="17"/>
        <v>|</v>
      </c>
      <c r="DG35" s="1" t="str">
        <f>IFERROR(VLOOKUP(DF35,スクリプト_フロー!$A:$F,5,FALSE),"")</f>
        <v/>
      </c>
    </row>
    <row r="36" spans="1:111" ht="21">
      <c r="A36" s="1">
        <v>35</v>
      </c>
      <c r="B36" s="1" t="s">
        <v>153</v>
      </c>
      <c r="C36" s="1" t="s">
        <v>154</v>
      </c>
      <c r="D36" s="1" t="s">
        <v>143</v>
      </c>
      <c r="E36" s="6"/>
      <c r="F36" s="6"/>
      <c r="G36" s="6" t="s">
        <v>34</v>
      </c>
      <c r="H36" s="6"/>
      <c r="I36" s="4" t="str">
        <f>SUBSTITUTE(SUBSTITUTE(SUBSTITUTE(SUBSTITUTE(SUBSTITUTE(SUBSTITUTE(SUBSTITUTE(SUBSTITUTE(SUBSTITUTE(SUBSTITUTE(SUBSTITUTE(Q36,"{会社}",設定!$B$3),"{自分}",設定!$B$4),"{サービス}",設定!$B$5),"{料金}",設定!$B$7),"{日付1}",設定!$B$8),"{日付2}",設定!$B$9),"{時間1}",設定!$B$10),"{時間2}",設定!$B$11),"{時間}","（指定時間）"),"{日付確定}","（確定日）"),"{時間確定}","（確定時間）")</f>
        <v/>
      </c>
      <c r="J36" s="1" t="str">
        <f>IFERROR(VLOOKUP(P36,スクリプト_フロー!$A:$F,4,FALSE),"")</f>
        <v/>
      </c>
      <c r="K36" s="6" t="s">
        <v>35</v>
      </c>
      <c r="L36" s="6"/>
      <c r="M36" s="6"/>
      <c r="N36" s="6"/>
      <c r="O36" s="1"/>
      <c r="P36" s="1" t="str">
        <f t="shared" si="9"/>
        <v>①架電|</v>
      </c>
      <c r="Q36" s="1" t="str">
        <f>IFERROR(VLOOKUP(P36,スクリプト_フロー!$A:$F,5,FALSE),"")</f>
        <v/>
      </c>
      <c r="R36" s="6" t="str">
        <f t="shared" si="10"/>
        <v/>
      </c>
      <c r="S36" s="6"/>
      <c r="T36" s="4" t="str">
        <f>IF(DA36="","",SUBSTITUTE(SUBSTITUTE(SUBSTITUTE(SUBSTITUTE(SUBSTITUTE(SUBSTITUTE(SUBSTITUTE(SUBSTITUTE(SUBSTITUTE(SUBSTITUTE(SUBSTITUTE(DA36,"{会社}",設定!$B$3),"{自分}",設定!$B$4),"{サービス}",設定!$B$5),"{料金}",設定!$B$7),"{日付1}",設定!$B$8),"{日付2}",設定!$B$9),"{時間1}",設定!$B$10),"{時間2}",設定!$B$11),"{時間}","（指定時間）"),"{日付確定}","（確定日）"),"{時間確定}","（確定時間）"))</f>
        <v/>
      </c>
      <c r="U36" s="1" t="str">
        <f>IFERROR(VLOOKUP(CZ36,スクリプト_フロー!$A:$F,4,FALSE),"")</f>
        <v/>
      </c>
      <c r="V36" s="6" t="str">
        <f t="shared" si="11"/>
        <v/>
      </c>
      <c r="W36" s="6"/>
      <c r="X36" s="4" t="str">
        <f>IF(DC36="","",SUBSTITUTE(SUBSTITUTE(SUBSTITUTE(SUBSTITUTE(SUBSTITUTE(SUBSTITUTE(SUBSTITUTE(SUBSTITUTE(SUBSTITUTE(SUBSTITUTE(SUBSTITUTE(DC36,"{会社}",設定!$B$3),"{自分}",設定!$B$4),"{サービス}",設定!$B$5),"{料金}",設定!$B$7),"{日付1}",設定!$B$8),"{日付2}",設定!$B$9),"{時間1}",設定!$B$10),"{時間2}",設定!$B$11),"{時間}","（指定時間）"),"{日付確定}","（確定日）"),"{時間確定}","（確定時間）"))</f>
        <v/>
      </c>
      <c r="Y36" s="1" t="str">
        <f>IFERROR(VLOOKUP(DB36,スクリプト_フロー!$A:$F,4,FALSE),"")</f>
        <v/>
      </c>
      <c r="Z36" s="6" t="str">
        <f t="shared" si="12"/>
        <v/>
      </c>
      <c r="AA36" s="6"/>
      <c r="AB36" s="4" t="str">
        <f>IF(DE36="","",SUBSTITUTE(SUBSTITUTE(SUBSTITUTE(SUBSTITUTE(SUBSTITUTE(SUBSTITUTE(SUBSTITUTE(SUBSTITUTE(SUBSTITUTE(SUBSTITUTE(SUBSTITUTE(DE36,"{会社}",設定!$B$3),"{自分}",設定!$B$4),"{サービス}",設定!$B$5),"{料金}",設定!$B$7),"{日付1}",設定!$B$8),"{日付2}",設定!$B$9),"{時間1}",設定!$B$10),"{時間2}",設定!$B$11),"{時間}","（指定時間）"),"{日付確定}","（確定日）"),"{時間確定}","（確定時間）"))</f>
        <v/>
      </c>
      <c r="AC36" s="1" t="str">
        <f>IFERROR(VLOOKUP(DD36,スクリプト_フロー!$A:$F,4,FALSE),"")</f>
        <v/>
      </c>
      <c r="AD36" s="6" t="str">
        <f t="shared" si="13"/>
        <v/>
      </c>
      <c r="AE36" s="6"/>
      <c r="AF36" s="4" t="str">
        <f>IF(DG36="","",SUBSTITUTE(SUBSTITUTE(SUBSTITUTE(SUBSTITUTE(SUBSTITUTE(SUBSTITUTE(SUBSTITUTE(SUBSTITUTE(SUBSTITUTE(SUBSTITUTE(SUBSTITUTE(DG36,"{会社}",設定!$B$3),"{自分}",設定!$B$4),"{サービス}",設定!$B$5),"{料金}",設定!$B$7),"{日付1}",設定!$B$8),"{日付2}",設定!$B$9),"{時間1}",設定!$B$10),"{時間2}",設定!$B$11),"{時間}","（指定時間）"),"{日付確定}","（確定日）"),"{時間確定}","（確定時間）"))</f>
        <v/>
      </c>
      <c r="AG36" s="1" t="str">
        <f>IFERROR(VLOOKUP(DF36,スクリプト_フロー!$A:$F,4,FALSE),"")</f>
        <v/>
      </c>
      <c r="CZ36" s="1" t="str">
        <f t="shared" si="14"/>
        <v>|</v>
      </c>
      <c r="DA36" s="1" t="str">
        <f>IFERROR(VLOOKUP(CZ36,スクリプト_フロー!$A:$F,5,FALSE),"")</f>
        <v/>
      </c>
      <c r="DB36" s="1" t="str">
        <f t="shared" si="15"/>
        <v>|</v>
      </c>
      <c r="DC36" s="1" t="str">
        <f>IFERROR(VLOOKUP(DB36,スクリプト_フロー!$A:$F,5,FALSE),"")</f>
        <v/>
      </c>
      <c r="DD36" s="1" t="str">
        <f t="shared" si="16"/>
        <v>|</v>
      </c>
      <c r="DE36" s="1" t="str">
        <f>IFERROR(VLOOKUP(DD36,スクリプト_フロー!$A:$F,5,FALSE),"")</f>
        <v/>
      </c>
      <c r="DF36" s="1" t="str">
        <f t="shared" si="17"/>
        <v>|</v>
      </c>
      <c r="DG36" s="1" t="str">
        <f>IFERROR(VLOOKUP(DF36,スクリプト_フロー!$A:$F,5,FALSE),"")</f>
        <v/>
      </c>
    </row>
    <row r="37" spans="1:111" ht="21">
      <c r="A37" s="1">
        <v>36</v>
      </c>
      <c r="B37" s="1" t="s">
        <v>155</v>
      </c>
      <c r="C37" s="1" t="s">
        <v>156</v>
      </c>
      <c r="D37" s="1" t="s">
        <v>143</v>
      </c>
      <c r="E37" s="6"/>
      <c r="F37" s="6"/>
      <c r="G37" s="6" t="s">
        <v>34</v>
      </c>
      <c r="H37" s="6"/>
      <c r="I37" s="4" t="str">
        <f>SUBSTITUTE(SUBSTITUTE(SUBSTITUTE(SUBSTITUTE(SUBSTITUTE(SUBSTITUTE(SUBSTITUTE(SUBSTITUTE(SUBSTITUTE(SUBSTITUTE(SUBSTITUTE(Q37,"{会社}",設定!$B$3),"{自分}",設定!$B$4),"{サービス}",設定!$B$5),"{料金}",設定!$B$7),"{日付1}",設定!$B$8),"{日付2}",設定!$B$9),"{時間1}",設定!$B$10),"{時間2}",設定!$B$11),"{時間}","（指定時間）"),"{日付確定}","（確定日）"),"{時間確定}","（確定時間）")</f>
        <v/>
      </c>
      <c r="J37" s="1" t="str">
        <f>IFERROR(VLOOKUP(P37,スクリプト_フロー!$A:$F,4,FALSE),"")</f>
        <v/>
      </c>
      <c r="K37" s="6" t="s">
        <v>35</v>
      </c>
      <c r="L37" s="6"/>
      <c r="M37" s="6"/>
      <c r="N37" s="6"/>
      <c r="O37" s="1"/>
      <c r="P37" s="1" t="str">
        <f t="shared" si="9"/>
        <v>①架電|</v>
      </c>
      <c r="Q37" s="1" t="str">
        <f>IFERROR(VLOOKUP(P37,スクリプト_フロー!$A:$F,5,FALSE),"")</f>
        <v/>
      </c>
      <c r="R37" s="6" t="str">
        <f t="shared" si="10"/>
        <v/>
      </c>
      <c r="S37" s="6"/>
      <c r="T37" s="4" t="str">
        <f>IF(DA37="","",SUBSTITUTE(SUBSTITUTE(SUBSTITUTE(SUBSTITUTE(SUBSTITUTE(SUBSTITUTE(SUBSTITUTE(SUBSTITUTE(SUBSTITUTE(SUBSTITUTE(SUBSTITUTE(DA37,"{会社}",設定!$B$3),"{自分}",設定!$B$4),"{サービス}",設定!$B$5),"{料金}",設定!$B$7),"{日付1}",設定!$B$8),"{日付2}",設定!$B$9),"{時間1}",設定!$B$10),"{時間2}",設定!$B$11),"{時間}","（指定時間）"),"{日付確定}","（確定日）"),"{時間確定}","（確定時間）"))</f>
        <v/>
      </c>
      <c r="U37" s="1" t="str">
        <f>IFERROR(VLOOKUP(CZ37,スクリプト_フロー!$A:$F,4,FALSE),"")</f>
        <v/>
      </c>
      <c r="V37" s="6" t="str">
        <f t="shared" si="11"/>
        <v/>
      </c>
      <c r="W37" s="6"/>
      <c r="X37" s="4" t="str">
        <f>IF(DC37="","",SUBSTITUTE(SUBSTITUTE(SUBSTITUTE(SUBSTITUTE(SUBSTITUTE(SUBSTITUTE(SUBSTITUTE(SUBSTITUTE(SUBSTITUTE(SUBSTITUTE(SUBSTITUTE(DC37,"{会社}",設定!$B$3),"{自分}",設定!$B$4),"{サービス}",設定!$B$5),"{料金}",設定!$B$7),"{日付1}",設定!$B$8),"{日付2}",設定!$B$9),"{時間1}",設定!$B$10),"{時間2}",設定!$B$11),"{時間}","（指定時間）"),"{日付確定}","（確定日）"),"{時間確定}","（確定時間）"))</f>
        <v/>
      </c>
      <c r="Y37" s="1" t="str">
        <f>IFERROR(VLOOKUP(DB37,スクリプト_フロー!$A:$F,4,FALSE),"")</f>
        <v/>
      </c>
      <c r="Z37" s="6" t="str">
        <f t="shared" si="12"/>
        <v/>
      </c>
      <c r="AA37" s="6"/>
      <c r="AB37" s="4" t="str">
        <f>IF(DE37="","",SUBSTITUTE(SUBSTITUTE(SUBSTITUTE(SUBSTITUTE(SUBSTITUTE(SUBSTITUTE(SUBSTITUTE(SUBSTITUTE(SUBSTITUTE(SUBSTITUTE(SUBSTITUTE(DE37,"{会社}",設定!$B$3),"{自分}",設定!$B$4),"{サービス}",設定!$B$5),"{料金}",設定!$B$7),"{日付1}",設定!$B$8),"{日付2}",設定!$B$9),"{時間1}",設定!$B$10),"{時間2}",設定!$B$11),"{時間}","（指定時間）"),"{日付確定}","（確定日）"),"{時間確定}","（確定時間）"))</f>
        <v/>
      </c>
      <c r="AC37" s="1" t="str">
        <f>IFERROR(VLOOKUP(DD37,スクリプト_フロー!$A:$F,4,FALSE),"")</f>
        <v/>
      </c>
      <c r="AD37" s="6" t="str">
        <f t="shared" si="13"/>
        <v/>
      </c>
      <c r="AE37" s="6"/>
      <c r="AF37" s="4" t="str">
        <f>IF(DG37="","",SUBSTITUTE(SUBSTITUTE(SUBSTITUTE(SUBSTITUTE(SUBSTITUTE(SUBSTITUTE(SUBSTITUTE(SUBSTITUTE(SUBSTITUTE(SUBSTITUTE(SUBSTITUTE(DG37,"{会社}",設定!$B$3),"{自分}",設定!$B$4),"{サービス}",設定!$B$5),"{料金}",設定!$B$7),"{日付1}",設定!$B$8),"{日付2}",設定!$B$9),"{時間1}",設定!$B$10),"{時間2}",設定!$B$11),"{時間}","（指定時間）"),"{日付確定}","（確定日）"),"{時間確定}","（確定時間）"))</f>
        <v/>
      </c>
      <c r="AG37" s="1" t="str">
        <f>IFERROR(VLOOKUP(DF37,スクリプト_フロー!$A:$F,4,FALSE),"")</f>
        <v/>
      </c>
      <c r="CZ37" s="1" t="str">
        <f t="shared" si="14"/>
        <v>|</v>
      </c>
      <c r="DA37" s="1" t="str">
        <f>IFERROR(VLOOKUP(CZ37,スクリプト_フロー!$A:$F,5,FALSE),"")</f>
        <v/>
      </c>
      <c r="DB37" s="1" t="str">
        <f t="shared" si="15"/>
        <v>|</v>
      </c>
      <c r="DC37" s="1" t="str">
        <f>IFERROR(VLOOKUP(DB37,スクリプト_フロー!$A:$F,5,FALSE),"")</f>
        <v/>
      </c>
      <c r="DD37" s="1" t="str">
        <f t="shared" si="16"/>
        <v>|</v>
      </c>
      <c r="DE37" s="1" t="str">
        <f>IFERROR(VLOOKUP(DD37,スクリプト_フロー!$A:$F,5,FALSE),"")</f>
        <v/>
      </c>
      <c r="DF37" s="1" t="str">
        <f t="shared" si="17"/>
        <v>|</v>
      </c>
      <c r="DG37" s="1" t="str">
        <f>IFERROR(VLOOKUP(DF37,スクリプト_フロー!$A:$F,5,FALSE),"")</f>
        <v/>
      </c>
    </row>
    <row r="38" spans="1:111" ht="21">
      <c r="A38" s="1">
        <v>37</v>
      </c>
      <c r="B38" s="1" t="s">
        <v>157</v>
      </c>
      <c r="C38" s="1" t="s">
        <v>158</v>
      </c>
      <c r="D38" s="1" t="s">
        <v>143</v>
      </c>
      <c r="E38" s="6"/>
      <c r="F38" s="6"/>
      <c r="G38" s="6" t="s">
        <v>34</v>
      </c>
      <c r="H38" s="6"/>
      <c r="I38" s="4" t="str">
        <f>SUBSTITUTE(SUBSTITUTE(SUBSTITUTE(SUBSTITUTE(SUBSTITUTE(SUBSTITUTE(SUBSTITUTE(SUBSTITUTE(SUBSTITUTE(SUBSTITUTE(SUBSTITUTE(Q38,"{会社}",設定!$B$3),"{自分}",設定!$B$4),"{サービス}",設定!$B$5),"{料金}",設定!$B$7),"{日付1}",設定!$B$8),"{日付2}",設定!$B$9),"{時間1}",設定!$B$10),"{時間2}",設定!$B$11),"{時間}","（指定時間）"),"{日付確定}","（確定日）"),"{時間確定}","（確定時間）")</f>
        <v/>
      </c>
      <c r="J38" s="1" t="str">
        <f>IFERROR(VLOOKUP(P38,スクリプト_フロー!$A:$F,4,FALSE),"")</f>
        <v/>
      </c>
      <c r="K38" s="6" t="s">
        <v>35</v>
      </c>
      <c r="L38" s="6"/>
      <c r="M38" s="6"/>
      <c r="N38" s="6"/>
      <c r="O38" s="1"/>
      <c r="P38" s="1" t="str">
        <f t="shared" si="9"/>
        <v>①架電|</v>
      </c>
      <c r="Q38" s="1" t="str">
        <f>IFERROR(VLOOKUP(P38,スクリプト_フロー!$A:$F,5,FALSE),"")</f>
        <v/>
      </c>
      <c r="R38" s="6" t="str">
        <f t="shared" si="10"/>
        <v/>
      </c>
      <c r="S38" s="6"/>
      <c r="T38" s="4" t="str">
        <f>IF(DA38="","",SUBSTITUTE(SUBSTITUTE(SUBSTITUTE(SUBSTITUTE(SUBSTITUTE(SUBSTITUTE(SUBSTITUTE(SUBSTITUTE(SUBSTITUTE(SUBSTITUTE(SUBSTITUTE(DA38,"{会社}",設定!$B$3),"{自分}",設定!$B$4),"{サービス}",設定!$B$5),"{料金}",設定!$B$7),"{日付1}",設定!$B$8),"{日付2}",設定!$B$9),"{時間1}",設定!$B$10),"{時間2}",設定!$B$11),"{時間}","（指定時間）"),"{日付確定}","（確定日）"),"{時間確定}","（確定時間）"))</f>
        <v/>
      </c>
      <c r="U38" s="1" t="str">
        <f>IFERROR(VLOOKUP(CZ38,スクリプト_フロー!$A:$F,4,FALSE),"")</f>
        <v/>
      </c>
      <c r="V38" s="6" t="str">
        <f t="shared" si="11"/>
        <v/>
      </c>
      <c r="W38" s="6"/>
      <c r="X38" s="4" t="str">
        <f>IF(DC38="","",SUBSTITUTE(SUBSTITUTE(SUBSTITUTE(SUBSTITUTE(SUBSTITUTE(SUBSTITUTE(SUBSTITUTE(SUBSTITUTE(SUBSTITUTE(SUBSTITUTE(SUBSTITUTE(DC38,"{会社}",設定!$B$3),"{自分}",設定!$B$4),"{サービス}",設定!$B$5),"{料金}",設定!$B$7),"{日付1}",設定!$B$8),"{日付2}",設定!$B$9),"{時間1}",設定!$B$10),"{時間2}",設定!$B$11),"{時間}","（指定時間）"),"{日付確定}","（確定日）"),"{時間確定}","（確定時間）"))</f>
        <v/>
      </c>
      <c r="Y38" s="1" t="str">
        <f>IFERROR(VLOOKUP(DB38,スクリプト_フロー!$A:$F,4,FALSE),"")</f>
        <v/>
      </c>
      <c r="Z38" s="6" t="str">
        <f t="shared" si="12"/>
        <v/>
      </c>
      <c r="AA38" s="6"/>
      <c r="AB38" s="4" t="str">
        <f>IF(DE38="","",SUBSTITUTE(SUBSTITUTE(SUBSTITUTE(SUBSTITUTE(SUBSTITUTE(SUBSTITUTE(SUBSTITUTE(SUBSTITUTE(SUBSTITUTE(SUBSTITUTE(SUBSTITUTE(DE38,"{会社}",設定!$B$3),"{自分}",設定!$B$4),"{サービス}",設定!$B$5),"{料金}",設定!$B$7),"{日付1}",設定!$B$8),"{日付2}",設定!$B$9),"{時間1}",設定!$B$10),"{時間2}",設定!$B$11),"{時間}","（指定時間）"),"{日付確定}","（確定日）"),"{時間確定}","（確定時間）"))</f>
        <v/>
      </c>
      <c r="AC38" s="1" t="str">
        <f>IFERROR(VLOOKUP(DD38,スクリプト_フロー!$A:$F,4,FALSE),"")</f>
        <v/>
      </c>
      <c r="AD38" s="6" t="str">
        <f t="shared" si="13"/>
        <v/>
      </c>
      <c r="AE38" s="6"/>
      <c r="AF38" s="4" t="str">
        <f>IF(DG38="","",SUBSTITUTE(SUBSTITUTE(SUBSTITUTE(SUBSTITUTE(SUBSTITUTE(SUBSTITUTE(SUBSTITUTE(SUBSTITUTE(SUBSTITUTE(SUBSTITUTE(SUBSTITUTE(DG38,"{会社}",設定!$B$3),"{自分}",設定!$B$4),"{サービス}",設定!$B$5),"{料金}",設定!$B$7),"{日付1}",設定!$B$8),"{日付2}",設定!$B$9),"{時間1}",設定!$B$10),"{時間2}",設定!$B$11),"{時間}","（指定時間）"),"{日付確定}","（確定日）"),"{時間確定}","（確定時間）"))</f>
        <v/>
      </c>
      <c r="AG38" s="1" t="str">
        <f>IFERROR(VLOOKUP(DF38,スクリプト_フロー!$A:$F,4,FALSE),"")</f>
        <v/>
      </c>
      <c r="CZ38" s="1" t="str">
        <f t="shared" si="14"/>
        <v>|</v>
      </c>
      <c r="DA38" s="1" t="str">
        <f>IFERROR(VLOOKUP(CZ38,スクリプト_フロー!$A:$F,5,FALSE),"")</f>
        <v/>
      </c>
      <c r="DB38" s="1" t="str">
        <f t="shared" si="15"/>
        <v>|</v>
      </c>
      <c r="DC38" s="1" t="str">
        <f>IFERROR(VLOOKUP(DB38,スクリプト_フロー!$A:$F,5,FALSE),"")</f>
        <v/>
      </c>
      <c r="DD38" s="1" t="str">
        <f t="shared" si="16"/>
        <v>|</v>
      </c>
      <c r="DE38" s="1" t="str">
        <f>IFERROR(VLOOKUP(DD38,スクリプト_フロー!$A:$F,5,FALSE),"")</f>
        <v/>
      </c>
      <c r="DF38" s="1" t="str">
        <f t="shared" si="17"/>
        <v>|</v>
      </c>
      <c r="DG38" s="1" t="str">
        <f>IFERROR(VLOOKUP(DF38,スクリプト_フロー!$A:$F,5,FALSE),"")</f>
        <v/>
      </c>
    </row>
    <row r="39" spans="1:111" ht="21">
      <c r="A39" s="1">
        <v>38</v>
      </c>
      <c r="B39" s="1" t="s">
        <v>159</v>
      </c>
      <c r="C39" s="1" t="s">
        <v>160</v>
      </c>
      <c r="D39" s="1" t="s">
        <v>143</v>
      </c>
      <c r="E39" s="6"/>
      <c r="F39" s="6"/>
      <c r="G39" s="6" t="s">
        <v>34</v>
      </c>
      <c r="H39" s="6"/>
      <c r="I39" s="4" t="str">
        <f>SUBSTITUTE(SUBSTITUTE(SUBSTITUTE(SUBSTITUTE(SUBSTITUTE(SUBSTITUTE(SUBSTITUTE(SUBSTITUTE(SUBSTITUTE(SUBSTITUTE(SUBSTITUTE(Q39,"{会社}",設定!$B$3),"{自分}",設定!$B$4),"{サービス}",設定!$B$5),"{料金}",設定!$B$7),"{日付1}",設定!$B$8),"{日付2}",設定!$B$9),"{時間1}",設定!$B$10),"{時間2}",設定!$B$11),"{時間}","（指定時間）"),"{日付確定}","（確定日）"),"{時間確定}","（確定時間）")</f>
        <v/>
      </c>
      <c r="J39" s="1" t="str">
        <f>IFERROR(VLOOKUP(P39,スクリプト_フロー!$A:$F,4,FALSE),"")</f>
        <v/>
      </c>
      <c r="K39" s="6" t="s">
        <v>35</v>
      </c>
      <c r="L39" s="6"/>
      <c r="M39" s="6"/>
      <c r="N39" s="6"/>
      <c r="O39" s="1"/>
      <c r="P39" s="1" t="str">
        <f t="shared" si="9"/>
        <v>①架電|</v>
      </c>
      <c r="Q39" s="1" t="str">
        <f>IFERROR(VLOOKUP(P39,スクリプト_フロー!$A:$F,5,FALSE),"")</f>
        <v/>
      </c>
      <c r="R39" s="6" t="str">
        <f t="shared" si="10"/>
        <v/>
      </c>
      <c r="S39" s="6"/>
      <c r="T39" s="4" t="str">
        <f>IF(DA39="","",SUBSTITUTE(SUBSTITUTE(SUBSTITUTE(SUBSTITUTE(SUBSTITUTE(SUBSTITUTE(SUBSTITUTE(SUBSTITUTE(SUBSTITUTE(SUBSTITUTE(SUBSTITUTE(DA39,"{会社}",設定!$B$3),"{自分}",設定!$B$4),"{サービス}",設定!$B$5),"{料金}",設定!$B$7),"{日付1}",設定!$B$8),"{日付2}",設定!$B$9),"{時間1}",設定!$B$10),"{時間2}",設定!$B$11),"{時間}","（指定時間）"),"{日付確定}","（確定日）"),"{時間確定}","（確定時間）"))</f>
        <v/>
      </c>
      <c r="U39" s="1" t="str">
        <f>IFERROR(VLOOKUP(CZ39,スクリプト_フロー!$A:$F,4,FALSE),"")</f>
        <v/>
      </c>
      <c r="V39" s="6" t="str">
        <f t="shared" si="11"/>
        <v/>
      </c>
      <c r="W39" s="6"/>
      <c r="X39" s="4" t="str">
        <f>IF(DC39="","",SUBSTITUTE(SUBSTITUTE(SUBSTITUTE(SUBSTITUTE(SUBSTITUTE(SUBSTITUTE(SUBSTITUTE(SUBSTITUTE(SUBSTITUTE(SUBSTITUTE(SUBSTITUTE(DC39,"{会社}",設定!$B$3),"{自分}",設定!$B$4),"{サービス}",設定!$B$5),"{料金}",設定!$B$7),"{日付1}",設定!$B$8),"{日付2}",設定!$B$9),"{時間1}",設定!$B$10),"{時間2}",設定!$B$11),"{時間}","（指定時間）"),"{日付確定}","（確定日）"),"{時間確定}","（確定時間）"))</f>
        <v/>
      </c>
      <c r="Y39" s="1" t="str">
        <f>IFERROR(VLOOKUP(DB39,スクリプト_フロー!$A:$F,4,FALSE),"")</f>
        <v/>
      </c>
      <c r="Z39" s="6" t="str">
        <f t="shared" si="12"/>
        <v/>
      </c>
      <c r="AA39" s="6"/>
      <c r="AB39" s="4" t="str">
        <f>IF(DE39="","",SUBSTITUTE(SUBSTITUTE(SUBSTITUTE(SUBSTITUTE(SUBSTITUTE(SUBSTITUTE(SUBSTITUTE(SUBSTITUTE(SUBSTITUTE(SUBSTITUTE(SUBSTITUTE(DE39,"{会社}",設定!$B$3),"{自分}",設定!$B$4),"{サービス}",設定!$B$5),"{料金}",設定!$B$7),"{日付1}",設定!$B$8),"{日付2}",設定!$B$9),"{時間1}",設定!$B$10),"{時間2}",設定!$B$11),"{時間}","（指定時間）"),"{日付確定}","（確定日）"),"{時間確定}","（確定時間）"))</f>
        <v/>
      </c>
      <c r="AC39" s="1" t="str">
        <f>IFERROR(VLOOKUP(DD39,スクリプト_フロー!$A:$F,4,FALSE),"")</f>
        <v/>
      </c>
      <c r="AD39" s="6" t="str">
        <f t="shared" si="13"/>
        <v/>
      </c>
      <c r="AE39" s="6"/>
      <c r="AF39" s="4" t="str">
        <f>IF(DG39="","",SUBSTITUTE(SUBSTITUTE(SUBSTITUTE(SUBSTITUTE(SUBSTITUTE(SUBSTITUTE(SUBSTITUTE(SUBSTITUTE(SUBSTITUTE(SUBSTITUTE(SUBSTITUTE(DG39,"{会社}",設定!$B$3),"{自分}",設定!$B$4),"{サービス}",設定!$B$5),"{料金}",設定!$B$7),"{日付1}",設定!$B$8),"{日付2}",設定!$B$9),"{時間1}",設定!$B$10),"{時間2}",設定!$B$11),"{時間}","（指定時間）"),"{日付確定}","（確定日）"),"{時間確定}","（確定時間）"))</f>
        <v/>
      </c>
      <c r="AG39" s="1" t="str">
        <f>IFERROR(VLOOKUP(DF39,スクリプト_フロー!$A:$F,4,FALSE),"")</f>
        <v/>
      </c>
      <c r="CZ39" s="1" t="str">
        <f t="shared" si="14"/>
        <v>|</v>
      </c>
      <c r="DA39" s="1" t="str">
        <f>IFERROR(VLOOKUP(CZ39,スクリプト_フロー!$A:$F,5,FALSE),"")</f>
        <v/>
      </c>
      <c r="DB39" s="1" t="str">
        <f t="shared" si="15"/>
        <v>|</v>
      </c>
      <c r="DC39" s="1" t="str">
        <f>IFERROR(VLOOKUP(DB39,スクリプト_フロー!$A:$F,5,FALSE),"")</f>
        <v/>
      </c>
      <c r="DD39" s="1" t="str">
        <f t="shared" si="16"/>
        <v>|</v>
      </c>
      <c r="DE39" s="1" t="str">
        <f>IFERROR(VLOOKUP(DD39,スクリプト_フロー!$A:$F,5,FALSE),"")</f>
        <v/>
      </c>
      <c r="DF39" s="1" t="str">
        <f t="shared" si="17"/>
        <v>|</v>
      </c>
      <c r="DG39" s="1" t="str">
        <f>IFERROR(VLOOKUP(DF39,スクリプト_フロー!$A:$F,5,FALSE),"")</f>
        <v/>
      </c>
    </row>
    <row r="40" spans="1:111" ht="21">
      <c r="A40" s="1">
        <v>39</v>
      </c>
      <c r="B40" s="1" t="s">
        <v>161</v>
      </c>
      <c r="C40" s="1" t="s">
        <v>130</v>
      </c>
      <c r="D40" s="1" t="s">
        <v>143</v>
      </c>
      <c r="E40" s="6"/>
      <c r="F40" s="6"/>
      <c r="G40" s="6" t="s">
        <v>34</v>
      </c>
      <c r="H40" s="6"/>
      <c r="I40" s="4" t="str">
        <f>SUBSTITUTE(SUBSTITUTE(SUBSTITUTE(SUBSTITUTE(SUBSTITUTE(SUBSTITUTE(SUBSTITUTE(SUBSTITUTE(SUBSTITUTE(SUBSTITUTE(SUBSTITUTE(Q40,"{会社}",設定!$B$3),"{自分}",設定!$B$4),"{サービス}",設定!$B$5),"{料金}",設定!$B$7),"{日付1}",設定!$B$8),"{日付2}",設定!$B$9),"{時間1}",設定!$B$10),"{時間2}",設定!$B$11),"{時間}","（指定時間）"),"{日付確定}","（確定日）"),"{時間確定}","（確定時間）")</f>
        <v/>
      </c>
      <c r="J40" s="1" t="str">
        <f>IFERROR(VLOOKUP(P40,スクリプト_フロー!$A:$F,4,FALSE),"")</f>
        <v/>
      </c>
      <c r="K40" s="6" t="s">
        <v>35</v>
      </c>
      <c r="L40" s="6"/>
      <c r="M40" s="6"/>
      <c r="N40" s="6"/>
      <c r="O40" s="1"/>
      <c r="P40" s="1" t="str">
        <f t="shared" si="9"/>
        <v>①架電|</v>
      </c>
      <c r="Q40" s="1" t="str">
        <f>IFERROR(VLOOKUP(P40,スクリプト_フロー!$A:$F,5,FALSE),"")</f>
        <v/>
      </c>
      <c r="R40" s="6" t="str">
        <f t="shared" si="10"/>
        <v/>
      </c>
      <c r="S40" s="6"/>
      <c r="T40" s="4" t="str">
        <f>IF(DA40="","",SUBSTITUTE(SUBSTITUTE(SUBSTITUTE(SUBSTITUTE(SUBSTITUTE(SUBSTITUTE(SUBSTITUTE(SUBSTITUTE(SUBSTITUTE(SUBSTITUTE(SUBSTITUTE(DA40,"{会社}",設定!$B$3),"{自分}",設定!$B$4),"{サービス}",設定!$B$5),"{料金}",設定!$B$7),"{日付1}",設定!$B$8),"{日付2}",設定!$B$9),"{時間1}",設定!$B$10),"{時間2}",設定!$B$11),"{時間}","（指定時間）"),"{日付確定}","（確定日）"),"{時間確定}","（確定時間）"))</f>
        <v/>
      </c>
      <c r="U40" s="1" t="str">
        <f>IFERROR(VLOOKUP(CZ40,スクリプト_フロー!$A:$F,4,FALSE),"")</f>
        <v/>
      </c>
      <c r="V40" s="6" t="str">
        <f t="shared" si="11"/>
        <v/>
      </c>
      <c r="W40" s="6"/>
      <c r="X40" s="4" t="str">
        <f>IF(DC40="","",SUBSTITUTE(SUBSTITUTE(SUBSTITUTE(SUBSTITUTE(SUBSTITUTE(SUBSTITUTE(SUBSTITUTE(SUBSTITUTE(SUBSTITUTE(SUBSTITUTE(SUBSTITUTE(DC40,"{会社}",設定!$B$3),"{自分}",設定!$B$4),"{サービス}",設定!$B$5),"{料金}",設定!$B$7),"{日付1}",設定!$B$8),"{日付2}",設定!$B$9),"{時間1}",設定!$B$10),"{時間2}",設定!$B$11),"{時間}","（指定時間）"),"{日付確定}","（確定日）"),"{時間確定}","（確定時間）"))</f>
        <v/>
      </c>
      <c r="Y40" s="1" t="str">
        <f>IFERROR(VLOOKUP(DB40,スクリプト_フロー!$A:$F,4,FALSE),"")</f>
        <v/>
      </c>
      <c r="Z40" s="6" t="str">
        <f t="shared" si="12"/>
        <v/>
      </c>
      <c r="AA40" s="6"/>
      <c r="AB40" s="4" t="str">
        <f>IF(DE40="","",SUBSTITUTE(SUBSTITUTE(SUBSTITUTE(SUBSTITUTE(SUBSTITUTE(SUBSTITUTE(SUBSTITUTE(SUBSTITUTE(SUBSTITUTE(SUBSTITUTE(SUBSTITUTE(DE40,"{会社}",設定!$B$3),"{自分}",設定!$B$4),"{サービス}",設定!$B$5),"{料金}",設定!$B$7),"{日付1}",設定!$B$8),"{日付2}",設定!$B$9),"{時間1}",設定!$B$10),"{時間2}",設定!$B$11),"{時間}","（指定時間）"),"{日付確定}","（確定日）"),"{時間確定}","（確定時間）"))</f>
        <v/>
      </c>
      <c r="AC40" s="1" t="str">
        <f>IFERROR(VLOOKUP(DD40,スクリプト_フロー!$A:$F,4,FALSE),"")</f>
        <v/>
      </c>
      <c r="AD40" s="6" t="str">
        <f t="shared" si="13"/>
        <v/>
      </c>
      <c r="AE40" s="6"/>
      <c r="AF40" s="4" t="str">
        <f>IF(DG40="","",SUBSTITUTE(SUBSTITUTE(SUBSTITUTE(SUBSTITUTE(SUBSTITUTE(SUBSTITUTE(SUBSTITUTE(SUBSTITUTE(SUBSTITUTE(SUBSTITUTE(SUBSTITUTE(DG40,"{会社}",設定!$B$3),"{自分}",設定!$B$4),"{サービス}",設定!$B$5),"{料金}",設定!$B$7),"{日付1}",設定!$B$8),"{日付2}",設定!$B$9),"{時間1}",設定!$B$10),"{時間2}",設定!$B$11),"{時間}","（指定時間）"),"{日付確定}","（確定日）"),"{時間確定}","（確定時間）"))</f>
        <v/>
      </c>
      <c r="AG40" s="1" t="str">
        <f>IFERROR(VLOOKUP(DF40,スクリプト_フロー!$A:$F,4,FALSE),"")</f>
        <v/>
      </c>
      <c r="CZ40" s="1" t="str">
        <f t="shared" si="14"/>
        <v>|</v>
      </c>
      <c r="DA40" s="1" t="str">
        <f>IFERROR(VLOOKUP(CZ40,スクリプト_フロー!$A:$F,5,FALSE),"")</f>
        <v/>
      </c>
      <c r="DB40" s="1" t="str">
        <f t="shared" si="15"/>
        <v>|</v>
      </c>
      <c r="DC40" s="1" t="str">
        <f>IFERROR(VLOOKUP(DB40,スクリプト_フロー!$A:$F,5,FALSE),"")</f>
        <v/>
      </c>
      <c r="DD40" s="1" t="str">
        <f t="shared" si="16"/>
        <v>|</v>
      </c>
      <c r="DE40" s="1" t="str">
        <f>IFERROR(VLOOKUP(DD40,スクリプト_フロー!$A:$F,5,FALSE),"")</f>
        <v/>
      </c>
      <c r="DF40" s="1" t="str">
        <f t="shared" si="17"/>
        <v>|</v>
      </c>
      <c r="DG40" s="1" t="str">
        <f>IFERROR(VLOOKUP(DF40,スクリプト_フロー!$A:$F,5,FALSE),"")</f>
        <v/>
      </c>
    </row>
    <row r="41" spans="1:111" ht="21">
      <c r="A41" s="1">
        <v>40</v>
      </c>
      <c r="B41" s="1" t="s">
        <v>162</v>
      </c>
      <c r="C41" s="1" t="s">
        <v>163</v>
      </c>
      <c r="D41" s="1" t="s">
        <v>143</v>
      </c>
      <c r="E41" s="6"/>
      <c r="F41" s="6"/>
      <c r="G41" s="6" t="s">
        <v>34</v>
      </c>
      <c r="H41" s="6"/>
      <c r="I41" s="4" t="str">
        <f>SUBSTITUTE(SUBSTITUTE(SUBSTITUTE(SUBSTITUTE(SUBSTITUTE(SUBSTITUTE(SUBSTITUTE(SUBSTITUTE(SUBSTITUTE(SUBSTITUTE(SUBSTITUTE(Q41,"{会社}",設定!$B$3),"{自分}",設定!$B$4),"{サービス}",設定!$B$5),"{料金}",設定!$B$7),"{日付1}",設定!$B$8),"{日付2}",設定!$B$9),"{時間1}",設定!$B$10),"{時間2}",設定!$B$11),"{時間}","（指定時間）"),"{日付確定}","（確定日）"),"{時間確定}","（確定時間）")</f>
        <v/>
      </c>
      <c r="J41" s="1" t="str">
        <f>IFERROR(VLOOKUP(P41,スクリプト_フロー!$A:$F,4,FALSE),"")</f>
        <v/>
      </c>
      <c r="K41" s="6" t="s">
        <v>35</v>
      </c>
      <c r="L41" s="6"/>
      <c r="M41" s="6"/>
      <c r="N41" s="6"/>
      <c r="O41" s="1"/>
      <c r="P41" s="1" t="str">
        <f t="shared" si="9"/>
        <v>①架電|</v>
      </c>
      <c r="Q41" s="1" t="str">
        <f>IFERROR(VLOOKUP(P41,スクリプト_フロー!$A:$F,5,FALSE),"")</f>
        <v/>
      </c>
      <c r="R41" s="6" t="str">
        <f t="shared" si="10"/>
        <v/>
      </c>
      <c r="S41" s="6"/>
      <c r="T41" s="4" t="str">
        <f>IF(DA41="","",SUBSTITUTE(SUBSTITUTE(SUBSTITUTE(SUBSTITUTE(SUBSTITUTE(SUBSTITUTE(SUBSTITUTE(SUBSTITUTE(SUBSTITUTE(SUBSTITUTE(SUBSTITUTE(DA41,"{会社}",設定!$B$3),"{自分}",設定!$B$4),"{サービス}",設定!$B$5),"{料金}",設定!$B$7),"{日付1}",設定!$B$8),"{日付2}",設定!$B$9),"{時間1}",設定!$B$10),"{時間2}",設定!$B$11),"{時間}","（指定時間）"),"{日付確定}","（確定日）"),"{時間確定}","（確定時間）"))</f>
        <v/>
      </c>
      <c r="U41" s="1" t="str">
        <f>IFERROR(VLOOKUP(CZ41,スクリプト_フロー!$A:$F,4,FALSE),"")</f>
        <v/>
      </c>
      <c r="V41" s="6" t="str">
        <f t="shared" si="11"/>
        <v/>
      </c>
      <c r="W41" s="6"/>
      <c r="X41" s="4" t="str">
        <f>IF(DC41="","",SUBSTITUTE(SUBSTITUTE(SUBSTITUTE(SUBSTITUTE(SUBSTITUTE(SUBSTITUTE(SUBSTITUTE(SUBSTITUTE(SUBSTITUTE(SUBSTITUTE(SUBSTITUTE(DC41,"{会社}",設定!$B$3),"{自分}",設定!$B$4),"{サービス}",設定!$B$5),"{料金}",設定!$B$7),"{日付1}",設定!$B$8),"{日付2}",設定!$B$9),"{時間1}",設定!$B$10),"{時間2}",設定!$B$11),"{時間}","（指定時間）"),"{日付確定}","（確定日）"),"{時間確定}","（確定時間）"))</f>
        <v/>
      </c>
      <c r="Y41" s="1" t="str">
        <f>IFERROR(VLOOKUP(DB41,スクリプト_フロー!$A:$F,4,FALSE),"")</f>
        <v/>
      </c>
      <c r="Z41" s="6" t="str">
        <f t="shared" si="12"/>
        <v/>
      </c>
      <c r="AA41" s="6"/>
      <c r="AB41" s="4" t="str">
        <f>IF(DE41="","",SUBSTITUTE(SUBSTITUTE(SUBSTITUTE(SUBSTITUTE(SUBSTITUTE(SUBSTITUTE(SUBSTITUTE(SUBSTITUTE(SUBSTITUTE(SUBSTITUTE(SUBSTITUTE(DE41,"{会社}",設定!$B$3),"{自分}",設定!$B$4),"{サービス}",設定!$B$5),"{料金}",設定!$B$7),"{日付1}",設定!$B$8),"{日付2}",設定!$B$9),"{時間1}",設定!$B$10),"{時間2}",設定!$B$11),"{時間}","（指定時間）"),"{日付確定}","（確定日）"),"{時間確定}","（確定時間）"))</f>
        <v/>
      </c>
      <c r="AC41" s="1" t="str">
        <f>IFERROR(VLOOKUP(DD41,スクリプト_フロー!$A:$F,4,FALSE),"")</f>
        <v/>
      </c>
      <c r="AD41" s="6" t="str">
        <f t="shared" si="13"/>
        <v/>
      </c>
      <c r="AE41" s="6"/>
      <c r="AF41" s="4" t="str">
        <f>IF(DG41="","",SUBSTITUTE(SUBSTITUTE(SUBSTITUTE(SUBSTITUTE(SUBSTITUTE(SUBSTITUTE(SUBSTITUTE(SUBSTITUTE(SUBSTITUTE(SUBSTITUTE(SUBSTITUTE(DG41,"{会社}",設定!$B$3),"{自分}",設定!$B$4),"{サービス}",設定!$B$5),"{料金}",設定!$B$7),"{日付1}",設定!$B$8),"{日付2}",設定!$B$9),"{時間1}",設定!$B$10),"{時間2}",設定!$B$11),"{時間}","（指定時間）"),"{日付確定}","（確定日）"),"{時間確定}","（確定時間）"))</f>
        <v/>
      </c>
      <c r="AG41" s="1" t="str">
        <f>IFERROR(VLOOKUP(DF41,スクリプト_フロー!$A:$F,4,FALSE),"")</f>
        <v/>
      </c>
      <c r="CZ41" s="1" t="str">
        <f t="shared" si="14"/>
        <v>|</v>
      </c>
      <c r="DA41" s="1" t="str">
        <f>IFERROR(VLOOKUP(CZ41,スクリプト_フロー!$A:$F,5,FALSE),"")</f>
        <v/>
      </c>
      <c r="DB41" s="1" t="str">
        <f t="shared" si="15"/>
        <v>|</v>
      </c>
      <c r="DC41" s="1" t="str">
        <f>IFERROR(VLOOKUP(DB41,スクリプト_フロー!$A:$F,5,FALSE),"")</f>
        <v/>
      </c>
      <c r="DD41" s="1" t="str">
        <f t="shared" si="16"/>
        <v>|</v>
      </c>
      <c r="DE41" s="1" t="str">
        <f>IFERROR(VLOOKUP(DD41,スクリプト_フロー!$A:$F,5,FALSE),"")</f>
        <v/>
      </c>
      <c r="DF41" s="1" t="str">
        <f t="shared" si="17"/>
        <v>|</v>
      </c>
      <c r="DG41" s="1" t="str">
        <f>IFERROR(VLOOKUP(DF41,スクリプト_フロー!$A:$F,5,FALSE),"")</f>
        <v/>
      </c>
    </row>
    <row r="42" spans="1:111" ht="21">
      <c r="A42" s="1">
        <v>41</v>
      </c>
      <c r="B42" s="1" t="s">
        <v>164</v>
      </c>
      <c r="C42" s="1" t="s">
        <v>165</v>
      </c>
      <c r="D42" s="1" t="s">
        <v>143</v>
      </c>
      <c r="E42" s="6"/>
      <c r="F42" s="6"/>
      <c r="G42" s="6" t="s">
        <v>34</v>
      </c>
      <c r="H42" s="6"/>
      <c r="I42" s="4" t="str">
        <f>SUBSTITUTE(SUBSTITUTE(SUBSTITUTE(SUBSTITUTE(SUBSTITUTE(SUBSTITUTE(SUBSTITUTE(SUBSTITUTE(SUBSTITUTE(SUBSTITUTE(SUBSTITUTE(Q42,"{会社}",設定!$B$3),"{自分}",設定!$B$4),"{サービス}",設定!$B$5),"{料金}",設定!$B$7),"{日付1}",設定!$B$8),"{日付2}",設定!$B$9),"{時間1}",設定!$B$10),"{時間2}",設定!$B$11),"{時間}","（指定時間）"),"{日付確定}","（確定日）"),"{時間確定}","（確定時間）")</f>
        <v/>
      </c>
      <c r="J42" s="1" t="str">
        <f>IFERROR(VLOOKUP(P42,スクリプト_フロー!$A:$F,4,FALSE),"")</f>
        <v/>
      </c>
      <c r="K42" s="6" t="s">
        <v>35</v>
      </c>
      <c r="L42" s="6"/>
      <c r="M42" s="6"/>
      <c r="N42" s="6"/>
      <c r="O42" s="1"/>
      <c r="P42" s="1" t="str">
        <f t="shared" si="9"/>
        <v>①架電|</v>
      </c>
      <c r="Q42" s="1" t="str">
        <f>IFERROR(VLOOKUP(P42,スクリプト_フロー!$A:$F,5,FALSE),"")</f>
        <v/>
      </c>
      <c r="R42" s="6" t="str">
        <f t="shared" si="10"/>
        <v/>
      </c>
      <c r="S42" s="6"/>
      <c r="T42" s="4" t="str">
        <f>IF(DA42="","",SUBSTITUTE(SUBSTITUTE(SUBSTITUTE(SUBSTITUTE(SUBSTITUTE(SUBSTITUTE(SUBSTITUTE(SUBSTITUTE(SUBSTITUTE(SUBSTITUTE(SUBSTITUTE(DA42,"{会社}",設定!$B$3),"{自分}",設定!$B$4),"{サービス}",設定!$B$5),"{料金}",設定!$B$7),"{日付1}",設定!$B$8),"{日付2}",設定!$B$9),"{時間1}",設定!$B$10),"{時間2}",設定!$B$11),"{時間}","（指定時間）"),"{日付確定}","（確定日）"),"{時間確定}","（確定時間）"))</f>
        <v/>
      </c>
      <c r="U42" s="1" t="str">
        <f>IFERROR(VLOOKUP(CZ42,スクリプト_フロー!$A:$F,4,FALSE),"")</f>
        <v/>
      </c>
      <c r="V42" s="6" t="str">
        <f t="shared" si="11"/>
        <v/>
      </c>
      <c r="W42" s="6"/>
      <c r="X42" s="4" t="str">
        <f>IF(DC42="","",SUBSTITUTE(SUBSTITUTE(SUBSTITUTE(SUBSTITUTE(SUBSTITUTE(SUBSTITUTE(SUBSTITUTE(SUBSTITUTE(SUBSTITUTE(SUBSTITUTE(SUBSTITUTE(DC42,"{会社}",設定!$B$3),"{自分}",設定!$B$4),"{サービス}",設定!$B$5),"{料金}",設定!$B$7),"{日付1}",設定!$B$8),"{日付2}",設定!$B$9),"{時間1}",設定!$B$10),"{時間2}",設定!$B$11),"{時間}","（指定時間）"),"{日付確定}","（確定日）"),"{時間確定}","（確定時間）"))</f>
        <v/>
      </c>
      <c r="Y42" s="1" t="str">
        <f>IFERROR(VLOOKUP(DB42,スクリプト_フロー!$A:$F,4,FALSE),"")</f>
        <v/>
      </c>
      <c r="Z42" s="6" t="str">
        <f t="shared" si="12"/>
        <v/>
      </c>
      <c r="AA42" s="6"/>
      <c r="AB42" s="4" t="str">
        <f>IF(DE42="","",SUBSTITUTE(SUBSTITUTE(SUBSTITUTE(SUBSTITUTE(SUBSTITUTE(SUBSTITUTE(SUBSTITUTE(SUBSTITUTE(SUBSTITUTE(SUBSTITUTE(SUBSTITUTE(DE42,"{会社}",設定!$B$3),"{自分}",設定!$B$4),"{サービス}",設定!$B$5),"{料金}",設定!$B$7),"{日付1}",設定!$B$8),"{日付2}",設定!$B$9),"{時間1}",設定!$B$10),"{時間2}",設定!$B$11),"{時間}","（指定時間）"),"{日付確定}","（確定日）"),"{時間確定}","（確定時間）"))</f>
        <v/>
      </c>
      <c r="AC42" s="1" t="str">
        <f>IFERROR(VLOOKUP(DD42,スクリプト_フロー!$A:$F,4,FALSE),"")</f>
        <v/>
      </c>
      <c r="AD42" s="6" t="str">
        <f t="shared" si="13"/>
        <v/>
      </c>
      <c r="AE42" s="6"/>
      <c r="AF42" s="4" t="str">
        <f>IF(DG42="","",SUBSTITUTE(SUBSTITUTE(SUBSTITUTE(SUBSTITUTE(SUBSTITUTE(SUBSTITUTE(SUBSTITUTE(SUBSTITUTE(SUBSTITUTE(SUBSTITUTE(SUBSTITUTE(DG42,"{会社}",設定!$B$3),"{自分}",設定!$B$4),"{サービス}",設定!$B$5),"{料金}",設定!$B$7),"{日付1}",設定!$B$8),"{日付2}",設定!$B$9),"{時間1}",設定!$B$10),"{時間2}",設定!$B$11),"{時間}","（指定時間）"),"{日付確定}","（確定日）"),"{時間確定}","（確定時間）"))</f>
        <v/>
      </c>
      <c r="AG42" s="1" t="str">
        <f>IFERROR(VLOOKUP(DF42,スクリプト_フロー!$A:$F,4,FALSE),"")</f>
        <v/>
      </c>
      <c r="CZ42" s="1" t="str">
        <f t="shared" si="14"/>
        <v>|</v>
      </c>
      <c r="DA42" s="1" t="str">
        <f>IFERROR(VLOOKUP(CZ42,スクリプト_フロー!$A:$F,5,FALSE),"")</f>
        <v/>
      </c>
      <c r="DB42" s="1" t="str">
        <f t="shared" si="15"/>
        <v>|</v>
      </c>
      <c r="DC42" s="1" t="str">
        <f>IFERROR(VLOOKUP(DB42,スクリプト_フロー!$A:$F,5,FALSE),"")</f>
        <v/>
      </c>
      <c r="DD42" s="1" t="str">
        <f t="shared" si="16"/>
        <v>|</v>
      </c>
      <c r="DE42" s="1" t="str">
        <f>IFERROR(VLOOKUP(DD42,スクリプト_フロー!$A:$F,5,FALSE),"")</f>
        <v/>
      </c>
      <c r="DF42" s="1" t="str">
        <f t="shared" si="17"/>
        <v>|</v>
      </c>
      <c r="DG42" s="1" t="str">
        <f>IFERROR(VLOOKUP(DF42,スクリプト_フロー!$A:$F,5,FALSE),"")</f>
        <v/>
      </c>
    </row>
    <row r="43" spans="1:111" ht="21">
      <c r="A43" s="1">
        <v>42</v>
      </c>
      <c r="B43" s="1" t="s">
        <v>166</v>
      </c>
      <c r="C43" s="1" t="s">
        <v>167</v>
      </c>
      <c r="D43" s="1" t="s">
        <v>143</v>
      </c>
      <c r="E43" s="6"/>
      <c r="F43" s="6"/>
      <c r="G43" s="6" t="s">
        <v>34</v>
      </c>
      <c r="H43" s="6"/>
      <c r="I43" s="4" t="str">
        <f>SUBSTITUTE(SUBSTITUTE(SUBSTITUTE(SUBSTITUTE(SUBSTITUTE(SUBSTITUTE(SUBSTITUTE(SUBSTITUTE(SUBSTITUTE(SUBSTITUTE(SUBSTITUTE(Q43,"{会社}",設定!$B$3),"{自分}",設定!$B$4),"{サービス}",設定!$B$5),"{料金}",設定!$B$7),"{日付1}",設定!$B$8),"{日付2}",設定!$B$9),"{時間1}",設定!$B$10),"{時間2}",設定!$B$11),"{時間}","（指定時間）"),"{日付確定}","（確定日）"),"{時間確定}","（確定時間）")</f>
        <v/>
      </c>
      <c r="J43" s="1" t="str">
        <f>IFERROR(VLOOKUP(P43,スクリプト_フロー!$A:$F,4,FALSE),"")</f>
        <v/>
      </c>
      <c r="K43" s="6" t="s">
        <v>35</v>
      </c>
      <c r="L43" s="6"/>
      <c r="M43" s="6"/>
      <c r="N43" s="6"/>
      <c r="O43" s="1"/>
      <c r="P43" s="1" t="str">
        <f t="shared" si="9"/>
        <v>①架電|</v>
      </c>
      <c r="Q43" s="1" t="str">
        <f>IFERROR(VLOOKUP(P43,スクリプト_フロー!$A:$F,5,FALSE),"")</f>
        <v/>
      </c>
      <c r="R43" s="6" t="str">
        <f t="shared" si="10"/>
        <v/>
      </c>
      <c r="S43" s="6"/>
      <c r="T43" s="4" t="str">
        <f>IF(DA43="","",SUBSTITUTE(SUBSTITUTE(SUBSTITUTE(SUBSTITUTE(SUBSTITUTE(SUBSTITUTE(SUBSTITUTE(SUBSTITUTE(SUBSTITUTE(SUBSTITUTE(SUBSTITUTE(DA43,"{会社}",設定!$B$3),"{自分}",設定!$B$4),"{サービス}",設定!$B$5),"{料金}",設定!$B$7),"{日付1}",設定!$B$8),"{日付2}",設定!$B$9),"{時間1}",設定!$B$10),"{時間2}",設定!$B$11),"{時間}","（指定時間）"),"{日付確定}","（確定日）"),"{時間確定}","（確定時間）"))</f>
        <v/>
      </c>
      <c r="U43" s="1" t="str">
        <f>IFERROR(VLOOKUP(CZ43,スクリプト_フロー!$A:$F,4,FALSE),"")</f>
        <v/>
      </c>
      <c r="V43" s="6" t="str">
        <f t="shared" si="11"/>
        <v/>
      </c>
      <c r="W43" s="6"/>
      <c r="X43" s="4" t="str">
        <f>IF(DC43="","",SUBSTITUTE(SUBSTITUTE(SUBSTITUTE(SUBSTITUTE(SUBSTITUTE(SUBSTITUTE(SUBSTITUTE(SUBSTITUTE(SUBSTITUTE(SUBSTITUTE(SUBSTITUTE(DC43,"{会社}",設定!$B$3),"{自分}",設定!$B$4),"{サービス}",設定!$B$5),"{料金}",設定!$B$7),"{日付1}",設定!$B$8),"{日付2}",設定!$B$9),"{時間1}",設定!$B$10),"{時間2}",設定!$B$11),"{時間}","（指定時間）"),"{日付確定}","（確定日）"),"{時間確定}","（確定時間）"))</f>
        <v/>
      </c>
      <c r="Y43" s="1" t="str">
        <f>IFERROR(VLOOKUP(DB43,スクリプト_フロー!$A:$F,4,FALSE),"")</f>
        <v/>
      </c>
      <c r="Z43" s="6" t="str">
        <f t="shared" si="12"/>
        <v/>
      </c>
      <c r="AA43" s="6"/>
      <c r="AB43" s="4" t="str">
        <f>IF(DE43="","",SUBSTITUTE(SUBSTITUTE(SUBSTITUTE(SUBSTITUTE(SUBSTITUTE(SUBSTITUTE(SUBSTITUTE(SUBSTITUTE(SUBSTITUTE(SUBSTITUTE(SUBSTITUTE(DE43,"{会社}",設定!$B$3),"{自分}",設定!$B$4),"{サービス}",設定!$B$5),"{料金}",設定!$B$7),"{日付1}",設定!$B$8),"{日付2}",設定!$B$9),"{時間1}",設定!$B$10),"{時間2}",設定!$B$11),"{時間}","（指定時間）"),"{日付確定}","（確定日）"),"{時間確定}","（確定時間）"))</f>
        <v/>
      </c>
      <c r="AC43" s="1" t="str">
        <f>IFERROR(VLOOKUP(DD43,スクリプト_フロー!$A:$F,4,FALSE),"")</f>
        <v/>
      </c>
      <c r="AD43" s="6" t="str">
        <f t="shared" si="13"/>
        <v/>
      </c>
      <c r="AE43" s="6"/>
      <c r="AF43" s="4" t="str">
        <f>IF(DG43="","",SUBSTITUTE(SUBSTITUTE(SUBSTITUTE(SUBSTITUTE(SUBSTITUTE(SUBSTITUTE(SUBSTITUTE(SUBSTITUTE(SUBSTITUTE(SUBSTITUTE(SUBSTITUTE(DG43,"{会社}",設定!$B$3),"{自分}",設定!$B$4),"{サービス}",設定!$B$5),"{料金}",設定!$B$7),"{日付1}",設定!$B$8),"{日付2}",設定!$B$9),"{時間1}",設定!$B$10),"{時間2}",設定!$B$11),"{時間}","（指定時間）"),"{日付確定}","（確定日）"),"{時間確定}","（確定時間）"))</f>
        <v/>
      </c>
      <c r="AG43" s="1" t="str">
        <f>IFERROR(VLOOKUP(DF43,スクリプト_フロー!$A:$F,4,FALSE),"")</f>
        <v/>
      </c>
      <c r="CZ43" s="1" t="str">
        <f t="shared" si="14"/>
        <v>|</v>
      </c>
      <c r="DA43" s="1" t="str">
        <f>IFERROR(VLOOKUP(CZ43,スクリプト_フロー!$A:$F,5,FALSE),"")</f>
        <v/>
      </c>
      <c r="DB43" s="1" t="str">
        <f t="shared" si="15"/>
        <v>|</v>
      </c>
      <c r="DC43" s="1" t="str">
        <f>IFERROR(VLOOKUP(DB43,スクリプト_フロー!$A:$F,5,FALSE),"")</f>
        <v/>
      </c>
      <c r="DD43" s="1" t="str">
        <f t="shared" si="16"/>
        <v>|</v>
      </c>
      <c r="DE43" s="1" t="str">
        <f>IFERROR(VLOOKUP(DD43,スクリプト_フロー!$A:$F,5,FALSE),"")</f>
        <v/>
      </c>
      <c r="DF43" s="1" t="str">
        <f t="shared" si="17"/>
        <v>|</v>
      </c>
      <c r="DG43" s="1" t="str">
        <f>IFERROR(VLOOKUP(DF43,スクリプト_フロー!$A:$F,5,FALSE),"")</f>
        <v/>
      </c>
    </row>
    <row r="44" spans="1:111" ht="21">
      <c r="A44" s="1">
        <v>43</v>
      </c>
      <c r="B44" s="1" t="s">
        <v>168</v>
      </c>
      <c r="C44" s="1" t="s">
        <v>126</v>
      </c>
      <c r="D44" s="1" t="s">
        <v>143</v>
      </c>
      <c r="E44" s="6"/>
      <c r="F44" s="6"/>
      <c r="G44" s="6" t="s">
        <v>34</v>
      </c>
      <c r="H44" s="6"/>
      <c r="I44" s="4" t="str">
        <f>SUBSTITUTE(SUBSTITUTE(SUBSTITUTE(SUBSTITUTE(SUBSTITUTE(SUBSTITUTE(SUBSTITUTE(SUBSTITUTE(SUBSTITUTE(SUBSTITUTE(SUBSTITUTE(Q44,"{会社}",設定!$B$3),"{自分}",設定!$B$4),"{サービス}",設定!$B$5),"{料金}",設定!$B$7),"{日付1}",設定!$B$8),"{日付2}",設定!$B$9),"{時間1}",設定!$B$10),"{時間2}",設定!$B$11),"{時間}","（指定時間）"),"{日付確定}","（確定日）"),"{時間確定}","（確定時間）")</f>
        <v/>
      </c>
      <c r="J44" s="1" t="str">
        <f>IFERROR(VLOOKUP(P44,スクリプト_フロー!$A:$F,4,FALSE),"")</f>
        <v/>
      </c>
      <c r="K44" s="6" t="s">
        <v>35</v>
      </c>
      <c r="L44" s="6"/>
      <c r="M44" s="6"/>
      <c r="N44" s="6"/>
      <c r="O44" s="1"/>
      <c r="P44" s="1" t="str">
        <f t="shared" si="9"/>
        <v>①架電|</v>
      </c>
      <c r="Q44" s="1" t="str">
        <f>IFERROR(VLOOKUP(P44,スクリプト_フロー!$A:$F,5,FALSE),"")</f>
        <v/>
      </c>
      <c r="R44" s="6" t="str">
        <f t="shared" si="10"/>
        <v/>
      </c>
      <c r="S44" s="6"/>
      <c r="T44" s="4" t="str">
        <f>IF(DA44="","",SUBSTITUTE(SUBSTITUTE(SUBSTITUTE(SUBSTITUTE(SUBSTITUTE(SUBSTITUTE(SUBSTITUTE(SUBSTITUTE(SUBSTITUTE(SUBSTITUTE(SUBSTITUTE(DA44,"{会社}",設定!$B$3),"{自分}",設定!$B$4),"{サービス}",設定!$B$5),"{料金}",設定!$B$7),"{日付1}",設定!$B$8),"{日付2}",設定!$B$9),"{時間1}",設定!$B$10),"{時間2}",設定!$B$11),"{時間}","（指定時間）"),"{日付確定}","（確定日）"),"{時間確定}","（確定時間）"))</f>
        <v/>
      </c>
      <c r="U44" s="1" t="str">
        <f>IFERROR(VLOOKUP(CZ44,スクリプト_フロー!$A:$F,4,FALSE),"")</f>
        <v/>
      </c>
      <c r="V44" s="6" t="str">
        <f t="shared" si="11"/>
        <v/>
      </c>
      <c r="W44" s="6"/>
      <c r="X44" s="4" t="str">
        <f>IF(DC44="","",SUBSTITUTE(SUBSTITUTE(SUBSTITUTE(SUBSTITUTE(SUBSTITUTE(SUBSTITUTE(SUBSTITUTE(SUBSTITUTE(SUBSTITUTE(SUBSTITUTE(SUBSTITUTE(DC44,"{会社}",設定!$B$3),"{自分}",設定!$B$4),"{サービス}",設定!$B$5),"{料金}",設定!$B$7),"{日付1}",設定!$B$8),"{日付2}",設定!$B$9),"{時間1}",設定!$B$10),"{時間2}",設定!$B$11),"{時間}","（指定時間）"),"{日付確定}","（確定日）"),"{時間確定}","（確定時間）"))</f>
        <v/>
      </c>
      <c r="Y44" s="1" t="str">
        <f>IFERROR(VLOOKUP(DB44,スクリプト_フロー!$A:$F,4,FALSE),"")</f>
        <v/>
      </c>
      <c r="Z44" s="6" t="str">
        <f t="shared" si="12"/>
        <v/>
      </c>
      <c r="AA44" s="6"/>
      <c r="AB44" s="4" t="str">
        <f>IF(DE44="","",SUBSTITUTE(SUBSTITUTE(SUBSTITUTE(SUBSTITUTE(SUBSTITUTE(SUBSTITUTE(SUBSTITUTE(SUBSTITUTE(SUBSTITUTE(SUBSTITUTE(SUBSTITUTE(DE44,"{会社}",設定!$B$3),"{自分}",設定!$B$4),"{サービス}",設定!$B$5),"{料金}",設定!$B$7),"{日付1}",設定!$B$8),"{日付2}",設定!$B$9),"{時間1}",設定!$B$10),"{時間2}",設定!$B$11),"{時間}","（指定時間）"),"{日付確定}","（確定日）"),"{時間確定}","（確定時間）"))</f>
        <v/>
      </c>
      <c r="AC44" s="1" t="str">
        <f>IFERROR(VLOOKUP(DD44,スクリプト_フロー!$A:$F,4,FALSE),"")</f>
        <v/>
      </c>
      <c r="AD44" s="6" t="str">
        <f t="shared" si="13"/>
        <v/>
      </c>
      <c r="AE44" s="6"/>
      <c r="AF44" s="4" t="str">
        <f>IF(DG44="","",SUBSTITUTE(SUBSTITUTE(SUBSTITUTE(SUBSTITUTE(SUBSTITUTE(SUBSTITUTE(SUBSTITUTE(SUBSTITUTE(SUBSTITUTE(SUBSTITUTE(SUBSTITUTE(DG44,"{会社}",設定!$B$3),"{自分}",設定!$B$4),"{サービス}",設定!$B$5),"{料金}",設定!$B$7),"{日付1}",設定!$B$8),"{日付2}",設定!$B$9),"{時間1}",設定!$B$10),"{時間2}",設定!$B$11),"{時間}","（指定時間）"),"{日付確定}","（確定日）"),"{時間確定}","（確定時間）"))</f>
        <v/>
      </c>
      <c r="AG44" s="1" t="str">
        <f>IFERROR(VLOOKUP(DF44,スクリプト_フロー!$A:$F,4,FALSE),"")</f>
        <v/>
      </c>
      <c r="CZ44" s="1" t="str">
        <f t="shared" si="14"/>
        <v>|</v>
      </c>
      <c r="DA44" s="1" t="str">
        <f>IFERROR(VLOOKUP(CZ44,スクリプト_フロー!$A:$F,5,FALSE),"")</f>
        <v/>
      </c>
      <c r="DB44" s="1" t="str">
        <f t="shared" si="15"/>
        <v>|</v>
      </c>
      <c r="DC44" s="1" t="str">
        <f>IFERROR(VLOOKUP(DB44,スクリプト_フロー!$A:$F,5,FALSE),"")</f>
        <v/>
      </c>
      <c r="DD44" s="1" t="str">
        <f t="shared" si="16"/>
        <v>|</v>
      </c>
      <c r="DE44" s="1" t="str">
        <f>IFERROR(VLOOKUP(DD44,スクリプト_フロー!$A:$F,5,FALSE),"")</f>
        <v/>
      </c>
      <c r="DF44" s="1" t="str">
        <f t="shared" si="17"/>
        <v>|</v>
      </c>
      <c r="DG44" s="1" t="str">
        <f>IFERROR(VLOOKUP(DF44,スクリプト_フロー!$A:$F,5,FALSE),"")</f>
        <v/>
      </c>
    </row>
    <row r="45" spans="1:111" ht="21">
      <c r="A45" s="1">
        <v>44</v>
      </c>
      <c r="B45" s="1" t="s">
        <v>169</v>
      </c>
      <c r="C45" s="1" t="s">
        <v>128</v>
      </c>
      <c r="D45" s="1" t="s">
        <v>143</v>
      </c>
      <c r="E45" s="6"/>
      <c r="F45" s="6"/>
      <c r="G45" s="6" t="s">
        <v>34</v>
      </c>
      <c r="H45" s="6"/>
      <c r="I45" s="4" t="str">
        <f>SUBSTITUTE(SUBSTITUTE(SUBSTITUTE(SUBSTITUTE(SUBSTITUTE(SUBSTITUTE(SUBSTITUTE(SUBSTITUTE(SUBSTITUTE(SUBSTITUTE(SUBSTITUTE(Q45,"{会社}",設定!$B$3),"{自分}",設定!$B$4),"{サービス}",設定!$B$5),"{料金}",設定!$B$7),"{日付1}",設定!$B$8),"{日付2}",設定!$B$9),"{時間1}",設定!$B$10),"{時間2}",設定!$B$11),"{時間}","（指定時間）"),"{日付確定}","（確定日）"),"{時間確定}","（確定時間）")</f>
        <v/>
      </c>
      <c r="J45" s="1" t="str">
        <f>IFERROR(VLOOKUP(P45,スクリプト_フロー!$A:$F,4,FALSE),"")</f>
        <v/>
      </c>
      <c r="K45" s="6" t="s">
        <v>35</v>
      </c>
      <c r="L45" s="6"/>
      <c r="M45" s="6"/>
      <c r="N45" s="6"/>
      <c r="O45" s="1"/>
      <c r="P45" s="1" t="str">
        <f t="shared" si="9"/>
        <v>①架電|</v>
      </c>
      <c r="Q45" s="1" t="str">
        <f>IFERROR(VLOOKUP(P45,スクリプト_フロー!$A:$F,5,FALSE),"")</f>
        <v/>
      </c>
      <c r="R45" s="6" t="str">
        <f t="shared" si="10"/>
        <v/>
      </c>
      <c r="S45" s="6"/>
      <c r="T45" s="4" t="str">
        <f>IF(DA45="","",SUBSTITUTE(SUBSTITUTE(SUBSTITUTE(SUBSTITUTE(SUBSTITUTE(SUBSTITUTE(SUBSTITUTE(SUBSTITUTE(SUBSTITUTE(SUBSTITUTE(SUBSTITUTE(DA45,"{会社}",設定!$B$3),"{自分}",設定!$B$4),"{サービス}",設定!$B$5),"{料金}",設定!$B$7),"{日付1}",設定!$B$8),"{日付2}",設定!$B$9),"{時間1}",設定!$B$10),"{時間2}",設定!$B$11),"{時間}","（指定時間）"),"{日付確定}","（確定日）"),"{時間確定}","（確定時間）"))</f>
        <v/>
      </c>
      <c r="U45" s="1" t="str">
        <f>IFERROR(VLOOKUP(CZ45,スクリプト_フロー!$A:$F,4,FALSE),"")</f>
        <v/>
      </c>
      <c r="V45" s="6" t="str">
        <f t="shared" si="11"/>
        <v/>
      </c>
      <c r="W45" s="6"/>
      <c r="X45" s="4" t="str">
        <f>IF(DC45="","",SUBSTITUTE(SUBSTITUTE(SUBSTITUTE(SUBSTITUTE(SUBSTITUTE(SUBSTITUTE(SUBSTITUTE(SUBSTITUTE(SUBSTITUTE(SUBSTITUTE(SUBSTITUTE(DC45,"{会社}",設定!$B$3),"{自分}",設定!$B$4),"{サービス}",設定!$B$5),"{料金}",設定!$B$7),"{日付1}",設定!$B$8),"{日付2}",設定!$B$9),"{時間1}",設定!$B$10),"{時間2}",設定!$B$11),"{時間}","（指定時間）"),"{日付確定}","（確定日）"),"{時間確定}","（確定時間）"))</f>
        <v/>
      </c>
      <c r="Y45" s="1" t="str">
        <f>IFERROR(VLOOKUP(DB45,スクリプト_フロー!$A:$F,4,FALSE),"")</f>
        <v/>
      </c>
      <c r="Z45" s="6" t="str">
        <f t="shared" si="12"/>
        <v/>
      </c>
      <c r="AA45" s="6"/>
      <c r="AB45" s="4" t="str">
        <f>IF(DE45="","",SUBSTITUTE(SUBSTITUTE(SUBSTITUTE(SUBSTITUTE(SUBSTITUTE(SUBSTITUTE(SUBSTITUTE(SUBSTITUTE(SUBSTITUTE(SUBSTITUTE(SUBSTITUTE(DE45,"{会社}",設定!$B$3),"{自分}",設定!$B$4),"{サービス}",設定!$B$5),"{料金}",設定!$B$7),"{日付1}",設定!$B$8),"{日付2}",設定!$B$9),"{時間1}",設定!$B$10),"{時間2}",設定!$B$11),"{時間}","（指定時間）"),"{日付確定}","（確定日）"),"{時間確定}","（確定時間）"))</f>
        <v/>
      </c>
      <c r="AC45" s="1" t="str">
        <f>IFERROR(VLOOKUP(DD45,スクリプト_フロー!$A:$F,4,FALSE),"")</f>
        <v/>
      </c>
      <c r="AD45" s="6" t="str">
        <f t="shared" si="13"/>
        <v/>
      </c>
      <c r="AE45" s="6"/>
      <c r="AF45" s="4" t="str">
        <f>IF(DG45="","",SUBSTITUTE(SUBSTITUTE(SUBSTITUTE(SUBSTITUTE(SUBSTITUTE(SUBSTITUTE(SUBSTITUTE(SUBSTITUTE(SUBSTITUTE(SUBSTITUTE(SUBSTITUTE(DG45,"{会社}",設定!$B$3),"{自分}",設定!$B$4),"{サービス}",設定!$B$5),"{料金}",設定!$B$7),"{日付1}",設定!$B$8),"{日付2}",設定!$B$9),"{時間1}",設定!$B$10),"{時間2}",設定!$B$11),"{時間}","（指定時間）"),"{日付確定}","（確定日）"),"{時間確定}","（確定時間）"))</f>
        <v/>
      </c>
      <c r="AG45" s="1" t="str">
        <f>IFERROR(VLOOKUP(DF45,スクリプト_フロー!$A:$F,4,FALSE),"")</f>
        <v/>
      </c>
      <c r="CZ45" s="1" t="str">
        <f t="shared" si="14"/>
        <v>|</v>
      </c>
      <c r="DA45" s="1" t="str">
        <f>IFERROR(VLOOKUP(CZ45,スクリプト_フロー!$A:$F,5,FALSE),"")</f>
        <v/>
      </c>
      <c r="DB45" s="1" t="str">
        <f t="shared" si="15"/>
        <v>|</v>
      </c>
      <c r="DC45" s="1" t="str">
        <f>IFERROR(VLOOKUP(DB45,スクリプト_フロー!$A:$F,5,FALSE),"")</f>
        <v/>
      </c>
      <c r="DD45" s="1" t="str">
        <f t="shared" si="16"/>
        <v>|</v>
      </c>
      <c r="DE45" s="1" t="str">
        <f>IFERROR(VLOOKUP(DD45,スクリプト_フロー!$A:$F,5,FALSE),"")</f>
        <v/>
      </c>
      <c r="DF45" s="1" t="str">
        <f t="shared" si="17"/>
        <v>|</v>
      </c>
      <c r="DG45" s="1" t="str">
        <f>IFERROR(VLOOKUP(DF45,スクリプト_フロー!$A:$F,5,FALSE),"")</f>
        <v/>
      </c>
    </row>
    <row r="46" spans="1:111" ht="21">
      <c r="A46" s="1">
        <v>45</v>
      </c>
      <c r="B46" s="1" t="s">
        <v>170</v>
      </c>
      <c r="C46" s="1" t="s">
        <v>171</v>
      </c>
      <c r="D46" s="1" t="s">
        <v>44</v>
      </c>
      <c r="E46" s="6"/>
      <c r="F46" s="6"/>
      <c r="G46" s="6" t="s">
        <v>34</v>
      </c>
      <c r="H46" s="6"/>
      <c r="I46" s="4" t="str">
        <f>SUBSTITUTE(SUBSTITUTE(SUBSTITUTE(SUBSTITUTE(SUBSTITUTE(SUBSTITUTE(SUBSTITUTE(SUBSTITUTE(SUBSTITUTE(SUBSTITUTE(SUBSTITUTE(Q46,"{会社}",設定!$B$3),"{自分}",設定!$B$4),"{サービス}",設定!$B$5),"{料金}",設定!$B$7),"{日付1}",設定!$B$8),"{日付2}",設定!$B$9),"{時間1}",設定!$B$10),"{時間2}",設定!$B$11),"{時間}","（指定時間）"),"{日付確定}","（確定日）"),"{時間確定}","（確定時間）")</f>
        <v/>
      </c>
      <c r="J46" s="1" t="str">
        <f>IFERROR(VLOOKUP(P46,スクリプト_フロー!$A:$F,4,FALSE),"")</f>
        <v/>
      </c>
      <c r="K46" s="6" t="s">
        <v>35</v>
      </c>
      <c r="L46" s="6"/>
      <c r="M46" s="6"/>
      <c r="N46" s="6"/>
      <c r="O46" s="1"/>
      <c r="P46" s="1" t="str">
        <f t="shared" si="9"/>
        <v>①架電|</v>
      </c>
      <c r="Q46" s="1" t="str">
        <f>IFERROR(VLOOKUP(P46,スクリプト_フロー!$A:$F,5,FALSE),"")</f>
        <v/>
      </c>
      <c r="R46" s="6" t="str">
        <f t="shared" si="10"/>
        <v/>
      </c>
      <c r="S46" s="6"/>
      <c r="T46" s="4" t="str">
        <f>IF(DA46="","",SUBSTITUTE(SUBSTITUTE(SUBSTITUTE(SUBSTITUTE(SUBSTITUTE(SUBSTITUTE(SUBSTITUTE(SUBSTITUTE(SUBSTITUTE(SUBSTITUTE(SUBSTITUTE(DA46,"{会社}",設定!$B$3),"{自分}",設定!$B$4),"{サービス}",設定!$B$5),"{料金}",設定!$B$7),"{日付1}",設定!$B$8),"{日付2}",設定!$B$9),"{時間1}",設定!$B$10),"{時間2}",設定!$B$11),"{時間}","（指定時間）"),"{日付確定}","（確定日）"),"{時間確定}","（確定時間）"))</f>
        <v/>
      </c>
      <c r="U46" s="1" t="str">
        <f>IFERROR(VLOOKUP(CZ46,スクリプト_フロー!$A:$F,4,FALSE),"")</f>
        <v/>
      </c>
      <c r="V46" s="6" t="str">
        <f t="shared" si="11"/>
        <v/>
      </c>
      <c r="W46" s="6"/>
      <c r="X46" s="4" t="str">
        <f>IF(DC46="","",SUBSTITUTE(SUBSTITUTE(SUBSTITUTE(SUBSTITUTE(SUBSTITUTE(SUBSTITUTE(SUBSTITUTE(SUBSTITUTE(SUBSTITUTE(SUBSTITUTE(SUBSTITUTE(DC46,"{会社}",設定!$B$3),"{自分}",設定!$B$4),"{サービス}",設定!$B$5),"{料金}",設定!$B$7),"{日付1}",設定!$B$8),"{日付2}",設定!$B$9),"{時間1}",設定!$B$10),"{時間2}",設定!$B$11),"{時間}","（指定時間）"),"{日付確定}","（確定日）"),"{時間確定}","（確定時間）"))</f>
        <v/>
      </c>
      <c r="Y46" s="1" t="str">
        <f>IFERROR(VLOOKUP(DB46,スクリプト_フロー!$A:$F,4,FALSE),"")</f>
        <v/>
      </c>
      <c r="Z46" s="6" t="str">
        <f t="shared" si="12"/>
        <v/>
      </c>
      <c r="AA46" s="6"/>
      <c r="AB46" s="4" t="str">
        <f>IF(DE46="","",SUBSTITUTE(SUBSTITUTE(SUBSTITUTE(SUBSTITUTE(SUBSTITUTE(SUBSTITUTE(SUBSTITUTE(SUBSTITUTE(SUBSTITUTE(SUBSTITUTE(SUBSTITUTE(DE46,"{会社}",設定!$B$3),"{自分}",設定!$B$4),"{サービス}",設定!$B$5),"{料金}",設定!$B$7),"{日付1}",設定!$B$8),"{日付2}",設定!$B$9),"{時間1}",設定!$B$10),"{時間2}",設定!$B$11),"{時間}","（指定時間）"),"{日付確定}","（確定日）"),"{時間確定}","（確定時間）"))</f>
        <v/>
      </c>
      <c r="AC46" s="1" t="str">
        <f>IFERROR(VLOOKUP(DD46,スクリプト_フロー!$A:$F,4,FALSE),"")</f>
        <v/>
      </c>
      <c r="AD46" s="6" t="str">
        <f t="shared" si="13"/>
        <v/>
      </c>
      <c r="AE46" s="6"/>
      <c r="AF46" s="4" t="str">
        <f>IF(DG46="","",SUBSTITUTE(SUBSTITUTE(SUBSTITUTE(SUBSTITUTE(SUBSTITUTE(SUBSTITUTE(SUBSTITUTE(SUBSTITUTE(SUBSTITUTE(SUBSTITUTE(SUBSTITUTE(DG46,"{会社}",設定!$B$3),"{自分}",設定!$B$4),"{サービス}",設定!$B$5),"{料金}",設定!$B$7),"{日付1}",設定!$B$8),"{日付2}",設定!$B$9),"{時間1}",設定!$B$10),"{時間2}",設定!$B$11),"{時間}","（指定時間）"),"{日付確定}","（確定日）"),"{時間確定}","（確定時間）"))</f>
        <v/>
      </c>
      <c r="AG46" s="1" t="str">
        <f>IFERROR(VLOOKUP(DF46,スクリプト_フロー!$A:$F,4,FALSE),"")</f>
        <v/>
      </c>
      <c r="CZ46" s="1" t="str">
        <f t="shared" si="14"/>
        <v>|</v>
      </c>
      <c r="DA46" s="1" t="str">
        <f>IFERROR(VLOOKUP(CZ46,スクリプト_フロー!$A:$F,5,FALSE),"")</f>
        <v/>
      </c>
      <c r="DB46" s="1" t="str">
        <f t="shared" si="15"/>
        <v>|</v>
      </c>
      <c r="DC46" s="1" t="str">
        <f>IFERROR(VLOOKUP(DB46,スクリプト_フロー!$A:$F,5,FALSE),"")</f>
        <v/>
      </c>
      <c r="DD46" s="1" t="str">
        <f t="shared" si="16"/>
        <v>|</v>
      </c>
      <c r="DE46" s="1" t="str">
        <f>IFERROR(VLOOKUP(DD46,スクリプト_フロー!$A:$F,5,FALSE),"")</f>
        <v/>
      </c>
      <c r="DF46" s="1" t="str">
        <f t="shared" si="17"/>
        <v>|</v>
      </c>
      <c r="DG46" s="1" t="str">
        <f>IFERROR(VLOOKUP(DF46,スクリプト_フロー!$A:$F,5,FALSE),"")</f>
        <v/>
      </c>
    </row>
    <row r="47" spans="1:111" ht="21">
      <c r="A47" s="1">
        <v>46</v>
      </c>
      <c r="B47" s="1" t="s">
        <v>172</v>
      </c>
      <c r="C47" s="1" t="s">
        <v>173</v>
      </c>
      <c r="D47" s="1" t="s">
        <v>44</v>
      </c>
      <c r="E47" s="6"/>
      <c r="F47" s="6"/>
      <c r="G47" s="6" t="s">
        <v>34</v>
      </c>
      <c r="H47" s="6"/>
      <c r="I47" s="4" t="str">
        <f>SUBSTITUTE(SUBSTITUTE(SUBSTITUTE(SUBSTITUTE(SUBSTITUTE(SUBSTITUTE(SUBSTITUTE(SUBSTITUTE(SUBSTITUTE(SUBSTITUTE(SUBSTITUTE(Q47,"{会社}",設定!$B$3),"{自分}",設定!$B$4),"{サービス}",設定!$B$5),"{料金}",設定!$B$7),"{日付1}",設定!$B$8),"{日付2}",設定!$B$9),"{時間1}",設定!$B$10),"{時間2}",設定!$B$11),"{時間}","（指定時間）"),"{日付確定}","（確定日）"),"{時間確定}","（確定時間）")</f>
        <v/>
      </c>
      <c r="J47" s="1" t="str">
        <f>IFERROR(VLOOKUP(P47,スクリプト_フロー!$A:$F,4,FALSE),"")</f>
        <v/>
      </c>
      <c r="K47" s="6" t="s">
        <v>35</v>
      </c>
      <c r="L47" s="6"/>
      <c r="M47" s="6"/>
      <c r="N47" s="6"/>
      <c r="O47" s="1"/>
      <c r="P47" s="1" t="str">
        <f t="shared" si="9"/>
        <v>①架電|</v>
      </c>
      <c r="Q47" s="1" t="str">
        <f>IFERROR(VLOOKUP(P47,スクリプト_フロー!$A:$F,5,FALSE),"")</f>
        <v/>
      </c>
      <c r="R47" s="6" t="str">
        <f t="shared" si="10"/>
        <v/>
      </c>
      <c r="S47" s="6"/>
      <c r="T47" s="4" t="str">
        <f>IF(DA47="","",SUBSTITUTE(SUBSTITUTE(SUBSTITUTE(SUBSTITUTE(SUBSTITUTE(SUBSTITUTE(SUBSTITUTE(SUBSTITUTE(SUBSTITUTE(SUBSTITUTE(SUBSTITUTE(DA47,"{会社}",設定!$B$3),"{自分}",設定!$B$4),"{サービス}",設定!$B$5),"{料金}",設定!$B$7),"{日付1}",設定!$B$8),"{日付2}",設定!$B$9),"{時間1}",設定!$B$10),"{時間2}",設定!$B$11),"{時間}","（指定時間）"),"{日付確定}","（確定日）"),"{時間確定}","（確定時間）"))</f>
        <v/>
      </c>
      <c r="U47" s="1" t="str">
        <f>IFERROR(VLOOKUP(CZ47,スクリプト_フロー!$A:$F,4,FALSE),"")</f>
        <v/>
      </c>
      <c r="V47" s="6" t="str">
        <f t="shared" si="11"/>
        <v/>
      </c>
      <c r="W47" s="6"/>
      <c r="X47" s="4" t="str">
        <f>IF(DC47="","",SUBSTITUTE(SUBSTITUTE(SUBSTITUTE(SUBSTITUTE(SUBSTITUTE(SUBSTITUTE(SUBSTITUTE(SUBSTITUTE(SUBSTITUTE(SUBSTITUTE(SUBSTITUTE(DC47,"{会社}",設定!$B$3),"{自分}",設定!$B$4),"{サービス}",設定!$B$5),"{料金}",設定!$B$7),"{日付1}",設定!$B$8),"{日付2}",設定!$B$9),"{時間1}",設定!$B$10),"{時間2}",設定!$B$11),"{時間}","（指定時間）"),"{日付確定}","（確定日）"),"{時間確定}","（確定時間）"))</f>
        <v/>
      </c>
      <c r="Y47" s="1" t="str">
        <f>IFERROR(VLOOKUP(DB47,スクリプト_フロー!$A:$F,4,FALSE),"")</f>
        <v/>
      </c>
      <c r="Z47" s="6" t="str">
        <f t="shared" si="12"/>
        <v/>
      </c>
      <c r="AA47" s="6"/>
      <c r="AB47" s="4" t="str">
        <f>IF(DE47="","",SUBSTITUTE(SUBSTITUTE(SUBSTITUTE(SUBSTITUTE(SUBSTITUTE(SUBSTITUTE(SUBSTITUTE(SUBSTITUTE(SUBSTITUTE(SUBSTITUTE(SUBSTITUTE(DE47,"{会社}",設定!$B$3),"{自分}",設定!$B$4),"{サービス}",設定!$B$5),"{料金}",設定!$B$7),"{日付1}",設定!$B$8),"{日付2}",設定!$B$9),"{時間1}",設定!$B$10),"{時間2}",設定!$B$11),"{時間}","（指定時間）"),"{日付確定}","（確定日）"),"{時間確定}","（確定時間）"))</f>
        <v/>
      </c>
      <c r="AC47" s="1" t="str">
        <f>IFERROR(VLOOKUP(DD47,スクリプト_フロー!$A:$F,4,FALSE),"")</f>
        <v/>
      </c>
      <c r="AD47" s="6" t="str">
        <f t="shared" si="13"/>
        <v/>
      </c>
      <c r="AE47" s="6"/>
      <c r="AF47" s="4" t="str">
        <f>IF(DG47="","",SUBSTITUTE(SUBSTITUTE(SUBSTITUTE(SUBSTITUTE(SUBSTITUTE(SUBSTITUTE(SUBSTITUTE(SUBSTITUTE(SUBSTITUTE(SUBSTITUTE(SUBSTITUTE(DG47,"{会社}",設定!$B$3),"{自分}",設定!$B$4),"{サービス}",設定!$B$5),"{料金}",設定!$B$7),"{日付1}",設定!$B$8),"{日付2}",設定!$B$9),"{時間1}",設定!$B$10),"{時間2}",設定!$B$11),"{時間}","（指定時間）"),"{日付確定}","（確定日）"),"{時間確定}","（確定時間）"))</f>
        <v/>
      </c>
      <c r="AG47" s="1" t="str">
        <f>IFERROR(VLOOKUP(DF47,スクリプト_フロー!$A:$F,4,FALSE),"")</f>
        <v/>
      </c>
      <c r="CZ47" s="1" t="str">
        <f t="shared" si="14"/>
        <v>|</v>
      </c>
      <c r="DA47" s="1" t="str">
        <f>IFERROR(VLOOKUP(CZ47,スクリプト_フロー!$A:$F,5,FALSE),"")</f>
        <v/>
      </c>
      <c r="DB47" s="1" t="str">
        <f t="shared" si="15"/>
        <v>|</v>
      </c>
      <c r="DC47" s="1" t="str">
        <f>IFERROR(VLOOKUP(DB47,スクリプト_フロー!$A:$F,5,FALSE),"")</f>
        <v/>
      </c>
      <c r="DD47" s="1" t="str">
        <f t="shared" si="16"/>
        <v>|</v>
      </c>
      <c r="DE47" s="1" t="str">
        <f>IFERROR(VLOOKUP(DD47,スクリプト_フロー!$A:$F,5,FALSE),"")</f>
        <v/>
      </c>
      <c r="DF47" s="1" t="str">
        <f t="shared" si="17"/>
        <v>|</v>
      </c>
      <c r="DG47" s="1" t="str">
        <f>IFERROR(VLOOKUP(DF47,スクリプト_フロー!$A:$F,5,FALSE),"")</f>
        <v/>
      </c>
    </row>
    <row r="48" spans="1:111" ht="21">
      <c r="A48" s="1">
        <v>47</v>
      </c>
      <c r="B48" s="1" t="s">
        <v>174</v>
      </c>
      <c r="C48" s="1" t="s">
        <v>175</v>
      </c>
      <c r="D48" s="1" t="s">
        <v>143</v>
      </c>
      <c r="E48" s="6"/>
      <c r="F48" s="6"/>
      <c r="G48" s="6" t="s">
        <v>34</v>
      </c>
      <c r="H48" s="6"/>
      <c r="I48" s="4" t="str">
        <f>SUBSTITUTE(SUBSTITUTE(SUBSTITUTE(SUBSTITUTE(SUBSTITUTE(SUBSTITUTE(SUBSTITUTE(SUBSTITUTE(SUBSTITUTE(SUBSTITUTE(SUBSTITUTE(Q48,"{会社}",設定!$B$3),"{自分}",設定!$B$4),"{サービス}",設定!$B$5),"{料金}",設定!$B$7),"{日付1}",設定!$B$8),"{日付2}",設定!$B$9),"{時間1}",設定!$B$10),"{時間2}",設定!$B$11),"{時間}","（指定時間）"),"{日付確定}","（確定日）"),"{時間確定}","（確定時間）")</f>
        <v/>
      </c>
      <c r="J48" s="1" t="str">
        <f>IFERROR(VLOOKUP(P48,スクリプト_フロー!$A:$F,4,FALSE),"")</f>
        <v/>
      </c>
      <c r="K48" s="6" t="s">
        <v>35</v>
      </c>
      <c r="L48" s="6"/>
      <c r="M48" s="6"/>
      <c r="N48" s="6"/>
      <c r="O48" s="1"/>
      <c r="P48" s="1" t="str">
        <f t="shared" si="9"/>
        <v>①架電|</v>
      </c>
      <c r="Q48" s="1" t="str">
        <f>IFERROR(VLOOKUP(P48,スクリプト_フロー!$A:$F,5,FALSE),"")</f>
        <v/>
      </c>
      <c r="R48" s="6" t="str">
        <f t="shared" si="10"/>
        <v/>
      </c>
      <c r="S48" s="6"/>
      <c r="T48" s="4" t="str">
        <f>IF(DA48="","",SUBSTITUTE(SUBSTITUTE(SUBSTITUTE(SUBSTITUTE(SUBSTITUTE(SUBSTITUTE(SUBSTITUTE(SUBSTITUTE(SUBSTITUTE(SUBSTITUTE(SUBSTITUTE(DA48,"{会社}",設定!$B$3),"{自分}",設定!$B$4),"{サービス}",設定!$B$5),"{料金}",設定!$B$7),"{日付1}",設定!$B$8),"{日付2}",設定!$B$9),"{時間1}",設定!$B$10),"{時間2}",設定!$B$11),"{時間}","（指定時間）"),"{日付確定}","（確定日）"),"{時間確定}","（確定時間）"))</f>
        <v/>
      </c>
      <c r="U48" s="1" t="str">
        <f>IFERROR(VLOOKUP(CZ48,スクリプト_フロー!$A:$F,4,FALSE),"")</f>
        <v/>
      </c>
      <c r="V48" s="6" t="str">
        <f t="shared" si="11"/>
        <v/>
      </c>
      <c r="W48" s="6"/>
      <c r="X48" s="4" t="str">
        <f>IF(DC48="","",SUBSTITUTE(SUBSTITUTE(SUBSTITUTE(SUBSTITUTE(SUBSTITUTE(SUBSTITUTE(SUBSTITUTE(SUBSTITUTE(SUBSTITUTE(SUBSTITUTE(SUBSTITUTE(DC48,"{会社}",設定!$B$3),"{自分}",設定!$B$4),"{サービス}",設定!$B$5),"{料金}",設定!$B$7),"{日付1}",設定!$B$8),"{日付2}",設定!$B$9),"{時間1}",設定!$B$10),"{時間2}",設定!$B$11),"{時間}","（指定時間）"),"{日付確定}","（確定日）"),"{時間確定}","（確定時間）"))</f>
        <v/>
      </c>
      <c r="Y48" s="1" t="str">
        <f>IFERROR(VLOOKUP(DB48,スクリプト_フロー!$A:$F,4,FALSE),"")</f>
        <v/>
      </c>
      <c r="Z48" s="6" t="str">
        <f t="shared" si="12"/>
        <v/>
      </c>
      <c r="AA48" s="6"/>
      <c r="AB48" s="4" t="str">
        <f>IF(DE48="","",SUBSTITUTE(SUBSTITUTE(SUBSTITUTE(SUBSTITUTE(SUBSTITUTE(SUBSTITUTE(SUBSTITUTE(SUBSTITUTE(SUBSTITUTE(SUBSTITUTE(SUBSTITUTE(DE48,"{会社}",設定!$B$3),"{自分}",設定!$B$4),"{サービス}",設定!$B$5),"{料金}",設定!$B$7),"{日付1}",設定!$B$8),"{日付2}",設定!$B$9),"{時間1}",設定!$B$10),"{時間2}",設定!$B$11),"{時間}","（指定時間）"),"{日付確定}","（確定日）"),"{時間確定}","（確定時間）"))</f>
        <v/>
      </c>
      <c r="AC48" s="1" t="str">
        <f>IFERROR(VLOOKUP(DD48,スクリプト_フロー!$A:$F,4,FALSE),"")</f>
        <v/>
      </c>
      <c r="AD48" s="6" t="str">
        <f t="shared" si="13"/>
        <v/>
      </c>
      <c r="AE48" s="6"/>
      <c r="AF48" s="4" t="str">
        <f>IF(DG48="","",SUBSTITUTE(SUBSTITUTE(SUBSTITUTE(SUBSTITUTE(SUBSTITUTE(SUBSTITUTE(SUBSTITUTE(SUBSTITUTE(SUBSTITUTE(SUBSTITUTE(SUBSTITUTE(DG48,"{会社}",設定!$B$3),"{自分}",設定!$B$4),"{サービス}",設定!$B$5),"{料金}",設定!$B$7),"{日付1}",設定!$B$8),"{日付2}",設定!$B$9),"{時間1}",設定!$B$10),"{時間2}",設定!$B$11),"{時間}","（指定時間）"),"{日付確定}","（確定日）"),"{時間確定}","（確定時間）"))</f>
        <v/>
      </c>
      <c r="AG48" s="1" t="str">
        <f>IFERROR(VLOOKUP(DF48,スクリプト_フロー!$A:$F,4,FALSE),"")</f>
        <v/>
      </c>
      <c r="CZ48" s="1" t="str">
        <f t="shared" si="14"/>
        <v>|</v>
      </c>
      <c r="DA48" s="1" t="str">
        <f>IFERROR(VLOOKUP(CZ48,スクリプト_フロー!$A:$F,5,FALSE),"")</f>
        <v/>
      </c>
      <c r="DB48" s="1" t="str">
        <f t="shared" si="15"/>
        <v>|</v>
      </c>
      <c r="DC48" s="1" t="str">
        <f>IFERROR(VLOOKUP(DB48,スクリプト_フロー!$A:$F,5,FALSE),"")</f>
        <v/>
      </c>
      <c r="DD48" s="1" t="str">
        <f t="shared" si="16"/>
        <v>|</v>
      </c>
      <c r="DE48" s="1" t="str">
        <f>IFERROR(VLOOKUP(DD48,スクリプト_フロー!$A:$F,5,FALSE),"")</f>
        <v/>
      </c>
      <c r="DF48" s="1" t="str">
        <f t="shared" si="17"/>
        <v>|</v>
      </c>
      <c r="DG48" s="1" t="str">
        <f>IFERROR(VLOOKUP(DF48,スクリプト_フロー!$A:$F,5,FALSE),"")</f>
        <v/>
      </c>
    </row>
    <row r="49" spans="1:111" ht="21">
      <c r="A49" s="1">
        <v>48</v>
      </c>
      <c r="B49" s="1" t="s">
        <v>176</v>
      </c>
      <c r="C49" s="1" t="s">
        <v>177</v>
      </c>
      <c r="D49" s="1" t="s">
        <v>143</v>
      </c>
      <c r="E49" s="6"/>
      <c r="F49" s="6"/>
      <c r="G49" s="6" t="s">
        <v>34</v>
      </c>
      <c r="H49" s="6"/>
      <c r="I49" s="4" t="str">
        <f>SUBSTITUTE(SUBSTITUTE(SUBSTITUTE(SUBSTITUTE(SUBSTITUTE(SUBSTITUTE(SUBSTITUTE(SUBSTITUTE(SUBSTITUTE(SUBSTITUTE(SUBSTITUTE(Q49,"{会社}",設定!$B$3),"{自分}",設定!$B$4),"{サービス}",設定!$B$5),"{料金}",設定!$B$7),"{日付1}",設定!$B$8),"{日付2}",設定!$B$9),"{時間1}",設定!$B$10),"{時間2}",設定!$B$11),"{時間}","（指定時間）"),"{日付確定}","（確定日）"),"{時間確定}","（確定時間）")</f>
        <v/>
      </c>
      <c r="J49" s="1" t="str">
        <f>IFERROR(VLOOKUP(P49,スクリプト_フロー!$A:$F,4,FALSE),"")</f>
        <v/>
      </c>
      <c r="K49" s="6" t="s">
        <v>35</v>
      </c>
      <c r="L49" s="6"/>
      <c r="M49" s="6"/>
      <c r="N49" s="6"/>
      <c r="O49" s="1"/>
      <c r="P49" s="1" t="str">
        <f t="shared" si="9"/>
        <v>①架電|</v>
      </c>
      <c r="Q49" s="1" t="str">
        <f>IFERROR(VLOOKUP(P49,スクリプト_フロー!$A:$F,5,FALSE),"")</f>
        <v/>
      </c>
      <c r="R49" s="6" t="str">
        <f t="shared" si="10"/>
        <v/>
      </c>
      <c r="S49" s="6"/>
      <c r="T49" s="4" t="str">
        <f>IF(DA49="","",SUBSTITUTE(SUBSTITUTE(SUBSTITUTE(SUBSTITUTE(SUBSTITUTE(SUBSTITUTE(SUBSTITUTE(SUBSTITUTE(SUBSTITUTE(SUBSTITUTE(SUBSTITUTE(DA49,"{会社}",設定!$B$3),"{自分}",設定!$B$4),"{サービス}",設定!$B$5),"{料金}",設定!$B$7),"{日付1}",設定!$B$8),"{日付2}",設定!$B$9),"{時間1}",設定!$B$10),"{時間2}",設定!$B$11),"{時間}","（指定時間）"),"{日付確定}","（確定日）"),"{時間確定}","（確定時間）"))</f>
        <v/>
      </c>
      <c r="U49" s="1" t="str">
        <f>IFERROR(VLOOKUP(CZ49,スクリプト_フロー!$A:$F,4,FALSE),"")</f>
        <v/>
      </c>
      <c r="V49" s="6" t="str">
        <f t="shared" si="11"/>
        <v/>
      </c>
      <c r="W49" s="6"/>
      <c r="X49" s="4" t="str">
        <f>IF(DC49="","",SUBSTITUTE(SUBSTITUTE(SUBSTITUTE(SUBSTITUTE(SUBSTITUTE(SUBSTITUTE(SUBSTITUTE(SUBSTITUTE(SUBSTITUTE(SUBSTITUTE(SUBSTITUTE(DC49,"{会社}",設定!$B$3),"{自分}",設定!$B$4),"{サービス}",設定!$B$5),"{料金}",設定!$B$7),"{日付1}",設定!$B$8),"{日付2}",設定!$B$9),"{時間1}",設定!$B$10),"{時間2}",設定!$B$11),"{時間}","（指定時間）"),"{日付確定}","（確定日）"),"{時間確定}","（確定時間）"))</f>
        <v/>
      </c>
      <c r="Y49" s="1" t="str">
        <f>IFERROR(VLOOKUP(DB49,スクリプト_フロー!$A:$F,4,FALSE),"")</f>
        <v/>
      </c>
      <c r="Z49" s="6" t="str">
        <f t="shared" si="12"/>
        <v/>
      </c>
      <c r="AA49" s="6"/>
      <c r="AB49" s="4" t="str">
        <f>IF(DE49="","",SUBSTITUTE(SUBSTITUTE(SUBSTITUTE(SUBSTITUTE(SUBSTITUTE(SUBSTITUTE(SUBSTITUTE(SUBSTITUTE(SUBSTITUTE(SUBSTITUTE(SUBSTITUTE(DE49,"{会社}",設定!$B$3),"{自分}",設定!$B$4),"{サービス}",設定!$B$5),"{料金}",設定!$B$7),"{日付1}",設定!$B$8),"{日付2}",設定!$B$9),"{時間1}",設定!$B$10),"{時間2}",設定!$B$11),"{時間}","（指定時間）"),"{日付確定}","（確定日）"),"{時間確定}","（確定時間）"))</f>
        <v/>
      </c>
      <c r="AC49" s="1" t="str">
        <f>IFERROR(VLOOKUP(DD49,スクリプト_フロー!$A:$F,4,FALSE),"")</f>
        <v/>
      </c>
      <c r="AD49" s="6" t="str">
        <f t="shared" si="13"/>
        <v/>
      </c>
      <c r="AE49" s="6"/>
      <c r="AF49" s="4" t="str">
        <f>IF(DG49="","",SUBSTITUTE(SUBSTITUTE(SUBSTITUTE(SUBSTITUTE(SUBSTITUTE(SUBSTITUTE(SUBSTITUTE(SUBSTITUTE(SUBSTITUTE(SUBSTITUTE(SUBSTITUTE(DG49,"{会社}",設定!$B$3),"{自分}",設定!$B$4),"{サービス}",設定!$B$5),"{料金}",設定!$B$7),"{日付1}",設定!$B$8),"{日付2}",設定!$B$9),"{時間1}",設定!$B$10),"{時間2}",設定!$B$11),"{時間}","（指定時間）"),"{日付確定}","（確定日）"),"{時間確定}","（確定時間）"))</f>
        <v/>
      </c>
      <c r="AG49" s="1" t="str">
        <f>IFERROR(VLOOKUP(DF49,スクリプト_フロー!$A:$F,4,FALSE),"")</f>
        <v/>
      </c>
      <c r="CZ49" s="1" t="str">
        <f t="shared" si="14"/>
        <v>|</v>
      </c>
      <c r="DA49" s="1" t="str">
        <f>IFERROR(VLOOKUP(CZ49,スクリプト_フロー!$A:$F,5,FALSE),"")</f>
        <v/>
      </c>
      <c r="DB49" s="1" t="str">
        <f t="shared" si="15"/>
        <v>|</v>
      </c>
      <c r="DC49" s="1" t="str">
        <f>IFERROR(VLOOKUP(DB49,スクリプト_フロー!$A:$F,5,FALSE),"")</f>
        <v/>
      </c>
      <c r="DD49" s="1" t="str">
        <f t="shared" si="16"/>
        <v>|</v>
      </c>
      <c r="DE49" s="1" t="str">
        <f>IFERROR(VLOOKUP(DD49,スクリプト_フロー!$A:$F,5,FALSE),"")</f>
        <v/>
      </c>
      <c r="DF49" s="1" t="str">
        <f t="shared" si="17"/>
        <v>|</v>
      </c>
      <c r="DG49" s="1" t="str">
        <f>IFERROR(VLOOKUP(DF49,スクリプト_フロー!$A:$F,5,FALSE),"")</f>
        <v/>
      </c>
    </row>
    <row r="50" spans="1:111" ht="21">
      <c r="A50" s="1">
        <v>49</v>
      </c>
      <c r="B50" s="1" t="s">
        <v>178</v>
      </c>
      <c r="C50" s="1" t="s">
        <v>179</v>
      </c>
      <c r="D50" s="1" t="s">
        <v>143</v>
      </c>
      <c r="E50" s="6"/>
      <c r="F50" s="6"/>
      <c r="G50" s="6" t="s">
        <v>34</v>
      </c>
      <c r="H50" s="6"/>
      <c r="I50" s="4" t="str">
        <f>SUBSTITUTE(SUBSTITUTE(SUBSTITUTE(SUBSTITUTE(SUBSTITUTE(SUBSTITUTE(SUBSTITUTE(SUBSTITUTE(SUBSTITUTE(SUBSTITUTE(SUBSTITUTE(Q50,"{会社}",設定!$B$3),"{自分}",設定!$B$4),"{サービス}",設定!$B$5),"{料金}",設定!$B$7),"{日付1}",設定!$B$8),"{日付2}",設定!$B$9),"{時間1}",設定!$B$10),"{時間2}",設定!$B$11),"{時間}","（指定時間）"),"{日付確定}","（確定日）"),"{時間確定}","（確定時間）")</f>
        <v/>
      </c>
      <c r="J50" s="1" t="str">
        <f>IFERROR(VLOOKUP(P50,スクリプト_フロー!$A:$F,4,FALSE),"")</f>
        <v/>
      </c>
      <c r="K50" s="6" t="s">
        <v>35</v>
      </c>
      <c r="L50" s="6"/>
      <c r="M50" s="6"/>
      <c r="N50" s="6"/>
      <c r="O50" s="1"/>
      <c r="P50" s="1" t="str">
        <f t="shared" si="9"/>
        <v>①架電|</v>
      </c>
      <c r="Q50" s="1" t="str">
        <f>IFERROR(VLOOKUP(P50,スクリプト_フロー!$A:$F,5,FALSE),"")</f>
        <v/>
      </c>
      <c r="R50" s="6" t="str">
        <f t="shared" si="10"/>
        <v/>
      </c>
      <c r="S50" s="6"/>
      <c r="T50" s="4" t="str">
        <f>IF(DA50="","",SUBSTITUTE(SUBSTITUTE(SUBSTITUTE(SUBSTITUTE(SUBSTITUTE(SUBSTITUTE(SUBSTITUTE(SUBSTITUTE(SUBSTITUTE(SUBSTITUTE(SUBSTITUTE(DA50,"{会社}",設定!$B$3),"{自分}",設定!$B$4),"{サービス}",設定!$B$5),"{料金}",設定!$B$7),"{日付1}",設定!$B$8),"{日付2}",設定!$B$9),"{時間1}",設定!$B$10),"{時間2}",設定!$B$11),"{時間}","（指定時間）"),"{日付確定}","（確定日）"),"{時間確定}","（確定時間）"))</f>
        <v/>
      </c>
      <c r="U50" s="1" t="str">
        <f>IFERROR(VLOOKUP(CZ50,スクリプト_フロー!$A:$F,4,FALSE),"")</f>
        <v/>
      </c>
      <c r="V50" s="6" t="str">
        <f t="shared" si="11"/>
        <v/>
      </c>
      <c r="W50" s="6"/>
      <c r="X50" s="4" t="str">
        <f>IF(DC50="","",SUBSTITUTE(SUBSTITUTE(SUBSTITUTE(SUBSTITUTE(SUBSTITUTE(SUBSTITUTE(SUBSTITUTE(SUBSTITUTE(SUBSTITUTE(SUBSTITUTE(SUBSTITUTE(DC50,"{会社}",設定!$B$3),"{自分}",設定!$B$4),"{サービス}",設定!$B$5),"{料金}",設定!$B$7),"{日付1}",設定!$B$8),"{日付2}",設定!$B$9),"{時間1}",設定!$B$10),"{時間2}",設定!$B$11),"{時間}","（指定時間）"),"{日付確定}","（確定日）"),"{時間確定}","（確定時間）"))</f>
        <v/>
      </c>
      <c r="Y50" s="1" t="str">
        <f>IFERROR(VLOOKUP(DB50,スクリプト_フロー!$A:$F,4,FALSE),"")</f>
        <v/>
      </c>
      <c r="Z50" s="6" t="str">
        <f t="shared" si="12"/>
        <v/>
      </c>
      <c r="AA50" s="6"/>
      <c r="AB50" s="4" t="str">
        <f>IF(DE50="","",SUBSTITUTE(SUBSTITUTE(SUBSTITUTE(SUBSTITUTE(SUBSTITUTE(SUBSTITUTE(SUBSTITUTE(SUBSTITUTE(SUBSTITUTE(SUBSTITUTE(SUBSTITUTE(DE50,"{会社}",設定!$B$3),"{自分}",設定!$B$4),"{サービス}",設定!$B$5),"{料金}",設定!$B$7),"{日付1}",設定!$B$8),"{日付2}",設定!$B$9),"{時間1}",設定!$B$10),"{時間2}",設定!$B$11),"{時間}","（指定時間）"),"{日付確定}","（確定日）"),"{時間確定}","（確定時間）"))</f>
        <v/>
      </c>
      <c r="AC50" s="1" t="str">
        <f>IFERROR(VLOOKUP(DD50,スクリプト_フロー!$A:$F,4,FALSE),"")</f>
        <v/>
      </c>
      <c r="AD50" s="6" t="str">
        <f t="shared" si="13"/>
        <v/>
      </c>
      <c r="AE50" s="6"/>
      <c r="AF50" s="4" t="str">
        <f>IF(DG50="","",SUBSTITUTE(SUBSTITUTE(SUBSTITUTE(SUBSTITUTE(SUBSTITUTE(SUBSTITUTE(SUBSTITUTE(SUBSTITUTE(SUBSTITUTE(SUBSTITUTE(SUBSTITUTE(DG50,"{会社}",設定!$B$3),"{自分}",設定!$B$4),"{サービス}",設定!$B$5),"{料金}",設定!$B$7),"{日付1}",設定!$B$8),"{日付2}",設定!$B$9),"{時間1}",設定!$B$10),"{時間2}",設定!$B$11),"{時間}","（指定時間）"),"{日付確定}","（確定日）"),"{時間確定}","（確定時間）"))</f>
        <v/>
      </c>
      <c r="AG50" s="1" t="str">
        <f>IFERROR(VLOOKUP(DF50,スクリプト_フロー!$A:$F,4,FALSE),"")</f>
        <v/>
      </c>
      <c r="CZ50" s="1" t="str">
        <f t="shared" si="14"/>
        <v>|</v>
      </c>
      <c r="DA50" s="1" t="str">
        <f>IFERROR(VLOOKUP(CZ50,スクリプト_フロー!$A:$F,5,FALSE),"")</f>
        <v/>
      </c>
      <c r="DB50" s="1" t="str">
        <f t="shared" si="15"/>
        <v>|</v>
      </c>
      <c r="DC50" s="1" t="str">
        <f>IFERROR(VLOOKUP(DB50,スクリプト_フロー!$A:$F,5,FALSE),"")</f>
        <v/>
      </c>
      <c r="DD50" s="1" t="str">
        <f t="shared" si="16"/>
        <v>|</v>
      </c>
      <c r="DE50" s="1" t="str">
        <f>IFERROR(VLOOKUP(DD50,スクリプト_フロー!$A:$F,5,FALSE),"")</f>
        <v/>
      </c>
      <c r="DF50" s="1" t="str">
        <f t="shared" si="17"/>
        <v>|</v>
      </c>
      <c r="DG50" s="1" t="str">
        <f>IFERROR(VLOOKUP(DF50,スクリプト_フロー!$A:$F,5,FALSE),"")</f>
        <v/>
      </c>
    </row>
    <row r="51" spans="1:111" ht="21">
      <c r="A51" s="1">
        <v>50</v>
      </c>
      <c r="B51" s="1" t="s">
        <v>180</v>
      </c>
      <c r="C51" s="1" t="s">
        <v>181</v>
      </c>
      <c r="D51" s="1" t="s">
        <v>44</v>
      </c>
      <c r="E51" s="6"/>
      <c r="F51" s="6"/>
      <c r="G51" s="6" t="s">
        <v>34</v>
      </c>
      <c r="H51" s="6"/>
      <c r="I51" s="4" t="str">
        <f>SUBSTITUTE(SUBSTITUTE(SUBSTITUTE(SUBSTITUTE(SUBSTITUTE(SUBSTITUTE(SUBSTITUTE(SUBSTITUTE(SUBSTITUTE(SUBSTITUTE(SUBSTITUTE(Q51,"{会社}",設定!$B$3),"{自分}",設定!$B$4),"{サービス}",設定!$B$5),"{料金}",設定!$B$7),"{日付1}",設定!$B$8),"{日付2}",設定!$B$9),"{時間1}",設定!$B$10),"{時間2}",設定!$B$11),"{時間}","（指定時間）"),"{日付確定}","（確定日）"),"{時間確定}","（確定時間）")</f>
        <v/>
      </c>
      <c r="J51" s="1" t="str">
        <f>IFERROR(VLOOKUP(P51,スクリプト_フロー!$A:$F,4,FALSE),"")</f>
        <v/>
      </c>
      <c r="K51" s="6" t="s">
        <v>35</v>
      </c>
      <c r="L51" s="6"/>
      <c r="M51" s="6"/>
      <c r="N51" s="6"/>
      <c r="O51" s="1"/>
      <c r="P51" s="1" t="str">
        <f t="shared" si="9"/>
        <v>①架電|</v>
      </c>
      <c r="Q51" s="1" t="str">
        <f>IFERROR(VLOOKUP(P51,スクリプト_フロー!$A:$F,5,FALSE),"")</f>
        <v/>
      </c>
      <c r="R51" s="6" t="str">
        <f t="shared" si="10"/>
        <v/>
      </c>
      <c r="S51" s="6"/>
      <c r="T51" s="4" t="str">
        <f>IF(DA51="","",SUBSTITUTE(SUBSTITUTE(SUBSTITUTE(SUBSTITUTE(SUBSTITUTE(SUBSTITUTE(SUBSTITUTE(SUBSTITUTE(SUBSTITUTE(SUBSTITUTE(SUBSTITUTE(DA51,"{会社}",設定!$B$3),"{自分}",設定!$B$4),"{サービス}",設定!$B$5),"{料金}",設定!$B$7),"{日付1}",設定!$B$8),"{日付2}",設定!$B$9),"{時間1}",設定!$B$10),"{時間2}",設定!$B$11),"{時間}","（指定時間）"),"{日付確定}","（確定日）"),"{時間確定}","（確定時間）"))</f>
        <v/>
      </c>
      <c r="U51" s="1" t="str">
        <f>IFERROR(VLOOKUP(CZ51,スクリプト_フロー!$A:$F,4,FALSE),"")</f>
        <v/>
      </c>
      <c r="V51" s="6" t="str">
        <f t="shared" si="11"/>
        <v/>
      </c>
      <c r="W51" s="6"/>
      <c r="X51" s="4" t="str">
        <f>IF(DC51="","",SUBSTITUTE(SUBSTITUTE(SUBSTITUTE(SUBSTITUTE(SUBSTITUTE(SUBSTITUTE(SUBSTITUTE(SUBSTITUTE(SUBSTITUTE(SUBSTITUTE(SUBSTITUTE(DC51,"{会社}",設定!$B$3),"{自分}",設定!$B$4),"{サービス}",設定!$B$5),"{料金}",設定!$B$7),"{日付1}",設定!$B$8),"{日付2}",設定!$B$9),"{時間1}",設定!$B$10),"{時間2}",設定!$B$11),"{時間}","（指定時間）"),"{日付確定}","（確定日）"),"{時間確定}","（確定時間）"))</f>
        <v/>
      </c>
      <c r="Y51" s="1" t="str">
        <f>IFERROR(VLOOKUP(DB51,スクリプト_フロー!$A:$F,4,FALSE),"")</f>
        <v/>
      </c>
      <c r="Z51" s="6" t="str">
        <f t="shared" si="12"/>
        <v/>
      </c>
      <c r="AA51" s="6"/>
      <c r="AB51" s="4" t="str">
        <f>IF(DE51="","",SUBSTITUTE(SUBSTITUTE(SUBSTITUTE(SUBSTITUTE(SUBSTITUTE(SUBSTITUTE(SUBSTITUTE(SUBSTITUTE(SUBSTITUTE(SUBSTITUTE(SUBSTITUTE(DE51,"{会社}",設定!$B$3),"{自分}",設定!$B$4),"{サービス}",設定!$B$5),"{料金}",設定!$B$7),"{日付1}",設定!$B$8),"{日付2}",設定!$B$9),"{時間1}",設定!$B$10),"{時間2}",設定!$B$11),"{時間}","（指定時間）"),"{日付確定}","（確定日）"),"{時間確定}","（確定時間）"))</f>
        <v/>
      </c>
      <c r="AC51" s="1" t="str">
        <f>IFERROR(VLOOKUP(DD51,スクリプト_フロー!$A:$F,4,FALSE),"")</f>
        <v/>
      </c>
      <c r="AD51" s="6" t="str">
        <f t="shared" si="13"/>
        <v/>
      </c>
      <c r="AE51" s="6"/>
      <c r="AF51" s="4" t="str">
        <f>IF(DG51="","",SUBSTITUTE(SUBSTITUTE(SUBSTITUTE(SUBSTITUTE(SUBSTITUTE(SUBSTITUTE(SUBSTITUTE(SUBSTITUTE(SUBSTITUTE(SUBSTITUTE(SUBSTITUTE(DG51,"{会社}",設定!$B$3),"{自分}",設定!$B$4),"{サービス}",設定!$B$5),"{料金}",設定!$B$7),"{日付1}",設定!$B$8),"{日付2}",設定!$B$9),"{時間1}",設定!$B$10),"{時間2}",設定!$B$11),"{時間}","（指定時間）"),"{日付確定}","（確定日）"),"{時間確定}","（確定時間）"))</f>
        <v/>
      </c>
      <c r="AG51" s="1" t="str">
        <f>IFERROR(VLOOKUP(DF51,スクリプト_フロー!$A:$F,4,FALSE),"")</f>
        <v/>
      </c>
      <c r="CZ51" s="1" t="str">
        <f t="shared" si="14"/>
        <v>|</v>
      </c>
      <c r="DA51" s="1" t="str">
        <f>IFERROR(VLOOKUP(CZ51,スクリプト_フロー!$A:$F,5,FALSE),"")</f>
        <v/>
      </c>
      <c r="DB51" s="1" t="str">
        <f t="shared" si="15"/>
        <v>|</v>
      </c>
      <c r="DC51" s="1" t="str">
        <f>IFERROR(VLOOKUP(DB51,スクリプト_フロー!$A:$F,5,FALSE),"")</f>
        <v/>
      </c>
      <c r="DD51" s="1" t="str">
        <f t="shared" si="16"/>
        <v>|</v>
      </c>
      <c r="DE51" s="1" t="str">
        <f>IFERROR(VLOOKUP(DD51,スクリプト_フロー!$A:$F,5,FALSE),"")</f>
        <v/>
      </c>
      <c r="DF51" s="1" t="str">
        <f t="shared" si="17"/>
        <v>|</v>
      </c>
      <c r="DG51" s="1" t="str">
        <f>IFERROR(VLOOKUP(DF51,スクリプト_フロー!$A:$F,5,FALSE),"")</f>
        <v/>
      </c>
    </row>
    <row r="52" spans="1:111" ht="21">
      <c r="A52" s="1">
        <v>51</v>
      </c>
      <c r="B52" s="1" t="s">
        <v>182</v>
      </c>
      <c r="C52" s="1" t="s">
        <v>183</v>
      </c>
      <c r="D52" s="1" t="s">
        <v>44</v>
      </c>
      <c r="E52" s="6"/>
      <c r="F52" s="6"/>
      <c r="G52" s="6" t="s">
        <v>34</v>
      </c>
      <c r="H52" s="6"/>
      <c r="I52" s="4" t="str">
        <f>SUBSTITUTE(SUBSTITUTE(SUBSTITUTE(SUBSTITUTE(SUBSTITUTE(SUBSTITUTE(SUBSTITUTE(SUBSTITUTE(SUBSTITUTE(SUBSTITUTE(SUBSTITUTE(Q52,"{会社}",設定!$B$3),"{自分}",設定!$B$4),"{サービス}",設定!$B$5),"{料金}",設定!$B$7),"{日付1}",設定!$B$8),"{日付2}",設定!$B$9),"{時間1}",設定!$B$10),"{時間2}",設定!$B$11),"{時間}","（指定時間）"),"{日付確定}","（確定日）"),"{時間確定}","（確定時間）")</f>
        <v/>
      </c>
      <c r="J52" s="1" t="str">
        <f>IFERROR(VLOOKUP(P52,スクリプト_フロー!$A:$F,4,FALSE),"")</f>
        <v/>
      </c>
      <c r="K52" s="6" t="s">
        <v>35</v>
      </c>
      <c r="L52" s="6"/>
      <c r="M52" s="6"/>
      <c r="N52" s="6"/>
      <c r="O52" s="1"/>
      <c r="P52" s="1" t="str">
        <f t="shared" si="9"/>
        <v>①架電|</v>
      </c>
      <c r="Q52" s="1" t="str">
        <f>IFERROR(VLOOKUP(P52,スクリプト_フロー!$A:$F,5,FALSE),"")</f>
        <v/>
      </c>
      <c r="R52" s="6" t="str">
        <f t="shared" si="10"/>
        <v/>
      </c>
      <c r="S52" s="6"/>
      <c r="T52" s="4" t="str">
        <f>IF(DA52="","",SUBSTITUTE(SUBSTITUTE(SUBSTITUTE(SUBSTITUTE(SUBSTITUTE(SUBSTITUTE(SUBSTITUTE(SUBSTITUTE(SUBSTITUTE(SUBSTITUTE(SUBSTITUTE(DA52,"{会社}",設定!$B$3),"{自分}",設定!$B$4),"{サービス}",設定!$B$5),"{料金}",設定!$B$7),"{日付1}",設定!$B$8),"{日付2}",設定!$B$9),"{時間1}",設定!$B$10),"{時間2}",設定!$B$11),"{時間}","（指定時間）"),"{日付確定}","（確定日）"),"{時間確定}","（確定時間）"))</f>
        <v/>
      </c>
      <c r="U52" s="1" t="str">
        <f>IFERROR(VLOOKUP(CZ52,スクリプト_フロー!$A:$F,4,FALSE),"")</f>
        <v/>
      </c>
      <c r="V52" s="6" t="str">
        <f t="shared" si="11"/>
        <v/>
      </c>
      <c r="W52" s="6"/>
      <c r="X52" s="4" t="str">
        <f>IF(DC52="","",SUBSTITUTE(SUBSTITUTE(SUBSTITUTE(SUBSTITUTE(SUBSTITUTE(SUBSTITUTE(SUBSTITUTE(SUBSTITUTE(SUBSTITUTE(SUBSTITUTE(SUBSTITUTE(DC52,"{会社}",設定!$B$3),"{自分}",設定!$B$4),"{サービス}",設定!$B$5),"{料金}",設定!$B$7),"{日付1}",設定!$B$8),"{日付2}",設定!$B$9),"{時間1}",設定!$B$10),"{時間2}",設定!$B$11),"{時間}","（指定時間）"),"{日付確定}","（確定日）"),"{時間確定}","（確定時間）"))</f>
        <v/>
      </c>
      <c r="Y52" s="1" t="str">
        <f>IFERROR(VLOOKUP(DB52,スクリプト_フロー!$A:$F,4,FALSE),"")</f>
        <v/>
      </c>
      <c r="Z52" s="6" t="str">
        <f t="shared" si="12"/>
        <v/>
      </c>
      <c r="AA52" s="6"/>
      <c r="AB52" s="4" t="str">
        <f>IF(DE52="","",SUBSTITUTE(SUBSTITUTE(SUBSTITUTE(SUBSTITUTE(SUBSTITUTE(SUBSTITUTE(SUBSTITUTE(SUBSTITUTE(SUBSTITUTE(SUBSTITUTE(SUBSTITUTE(DE52,"{会社}",設定!$B$3),"{自分}",設定!$B$4),"{サービス}",設定!$B$5),"{料金}",設定!$B$7),"{日付1}",設定!$B$8),"{日付2}",設定!$B$9),"{時間1}",設定!$B$10),"{時間2}",設定!$B$11),"{時間}","（指定時間）"),"{日付確定}","（確定日）"),"{時間確定}","（確定時間）"))</f>
        <v/>
      </c>
      <c r="AC52" s="1" t="str">
        <f>IFERROR(VLOOKUP(DD52,スクリプト_フロー!$A:$F,4,FALSE),"")</f>
        <v/>
      </c>
      <c r="AD52" s="6" t="str">
        <f t="shared" si="13"/>
        <v/>
      </c>
      <c r="AE52" s="6"/>
      <c r="AF52" s="4" t="str">
        <f>IF(DG52="","",SUBSTITUTE(SUBSTITUTE(SUBSTITUTE(SUBSTITUTE(SUBSTITUTE(SUBSTITUTE(SUBSTITUTE(SUBSTITUTE(SUBSTITUTE(SUBSTITUTE(SUBSTITUTE(DG52,"{会社}",設定!$B$3),"{自分}",設定!$B$4),"{サービス}",設定!$B$5),"{料金}",設定!$B$7),"{日付1}",設定!$B$8),"{日付2}",設定!$B$9),"{時間1}",設定!$B$10),"{時間2}",設定!$B$11),"{時間}","（指定時間）"),"{日付確定}","（確定日）"),"{時間確定}","（確定時間）"))</f>
        <v/>
      </c>
      <c r="AG52" s="1" t="str">
        <f>IFERROR(VLOOKUP(DF52,スクリプト_フロー!$A:$F,4,FALSE),"")</f>
        <v/>
      </c>
      <c r="CZ52" s="1" t="str">
        <f t="shared" si="14"/>
        <v>|</v>
      </c>
      <c r="DA52" s="1" t="str">
        <f>IFERROR(VLOOKUP(CZ52,スクリプト_フロー!$A:$F,5,FALSE),"")</f>
        <v/>
      </c>
      <c r="DB52" s="1" t="str">
        <f t="shared" si="15"/>
        <v>|</v>
      </c>
      <c r="DC52" s="1" t="str">
        <f>IFERROR(VLOOKUP(DB52,スクリプト_フロー!$A:$F,5,FALSE),"")</f>
        <v/>
      </c>
      <c r="DD52" s="1" t="str">
        <f t="shared" si="16"/>
        <v>|</v>
      </c>
      <c r="DE52" s="1" t="str">
        <f>IFERROR(VLOOKUP(DD52,スクリプト_フロー!$A:$F,5,FALSE),"")</f>
        <v/>
      </c>
      <c r="DF52" s="1" t="str">
        <f t="shared" si="17"/>
        <v>|</v>
      </c>
      <c r="DG52" s="1" t="str">
        <f>IFERROR(VLOOKUP(DF52,スクリプト_フロー!$A:$F,5,FALSE),"")</f>
        <v/>
      </c>
    </row>
    <row r="53" spans="1:111" ht="21">
      <c r="A53" s="1">
        <v>52</v>
      </c>
      <c r="B53" s="1" t="s">
        <v>184</v>
      </c>
      <c r="C53" s="1" t="s">
        <v>185</v>
      </c>
      <c r="D53" s="1" t="s">
        <v>186</v>
      </c>
      <c r="E53" s="6"/>
      <c r="F53" s="6"/>
      <c r="G53" s="6" t="s">
        <v>34</v>
      </c>
      <c r="H53" s="6"/>
      <c r="I53" s="4" t="str">
        <f>SUBSTITUTE(SUBSTITUTE(SUBSTITUTE(SUBSTITUTE(SUBSTITUTE(SUBSTITUTE(SUBSTITUTE(SUBSTITUTE(SUBSTITUTE(SUBSTITUTE(SUBSTITUTE(Q53,"{会社}",設定!$B$3),"{自分}",設定!$B$4),"{サービス}",設定!$B$5),"{料金}",設定!$B$7),"{日付1}",設定!$B$8),"{日付2}",設定!$B$9),"{時間1}",設定!$B$10),"{時間2}",設定!$B$11),"{時間}","（指定時間）"),"{日付確定}","（確定日）"),"{時間確定}","（確定時間）")</f>
        <v/>
      </c>
      <c r="J53" s="1" t="str">
        <f>IFERROR(VLOOKUP(P53,スクリプト_フロー!$A:$F,4,FALSE),"")</f>
        <v/>
      </c>
      <c r="K53" s="6" t="s">
        <v>35</v>
      </c>
      <c r="L53" s="6"/>
      <c r="M53" s="6"/>
      <c r="N53" s="6"/>
      <c r="O53" s="1"/>
      <c r="P53" s="1" t="str">
        <f t="shared" si="9"/>
        <v>①架電|</v>
      </c>
      <c r="Q53" s="1" t="str">
        <f>IFERROR(VLOOKUP(P53,スクリプト_フロー!$A:$F,5,FALSE),"")</f>
        <v/>
      </c>
      <c r="R53" s="6" t="str">
        <f t="shared" si="10"/>
        <v/>
      </c>
      <c r="S53" s="6"/>
      <c r="T53" s="4" t="str">
        <f>IF(DA53="","",SUBSTITUTE(SUBSTITUTE(SUBSTITUTE(SUBSTITUTE(SUBSTITUTE(SUBSTITUTE(SUBSTITUTE(SUBSTITUTE(SUBSTITUTE(SUBSTITUTE(SUBSTITUTE(DA53,"{会社}",設定!$B$3),"{自分}",設定!$B$4),"{サービス}",設定!$B$5),"{料金}",設定!$B$7),"{日付1}",設定!$B$8),"{日付2}",設定!$B$9),"{時間1}",設定!$B$10),"{時間2}",設定!$B$11),"{時間}","（指定時間）"),"{日付確定}","（確定日）"),"{時間確定}","（確定時間）"))</f>
        <v/>
      </c>
      <c r="U53" s="1" t="str">
        <f>IFERROR(VLOOKUP(CZ53,スクリプト_フロー!$A:$F,4,FALSE),"")</f>
        <v/>
      </c>
      <c r="V53" s="6" t="str">
        <f t="shared" si="11"/>
        <v/>
      </c>
      <c r="W53" s="6"/>
      <c r="X53" s="4" t="str">
        <f>IF(DC53="","",SUBSTITUTE(SUBSTITUTE(SUBSTITUTE(SUBSTITUTE(SUBSTITUTE(SUBSTITUTE(SUBSTITUTE(SUBSTITUTE(SUBSTITUTE(SUBSTITUTE(SUBSTITUTE(DC53,"{会社}",設定!$B$3),"{自分}",設定!$B$4),"{サービス}",設定!$B$5),"{料金}",設定!$B$7),"{日付1}",設定!$B$8),"{日付2}",設定!$B$9),"{時間1}",設定!$B$10),"{時間2}",設定!$B$11),"{時間}","（指定時間）"),"{日付確定}","（確定日）"),"{時間確定}","（確定時間）"))</f>
        <v/>
      </c>
      <c r="Y53" s="1" t="str">
        <f>IFERROR(VLOOKUP(DB53,スクリプト_フロー!$A:$F,4,FALSE),"")</f>
        <v/>
      </c>
      <c r="Z53" s="6" t="str">
        <f t="shared" si="12"/>
        <v/>
      </c>
      <c r="AA53" s="6"/>
      <c r="AB53" s="4" t="str">
        <f>IF(DE53="","",SUBSTITUTE(SUBSTITUTE(SUBSTITUTE(SUBSTITUTE(SUBSTITUTE(SUBSTITUTE(SUBSTITUTE(SUBSTITUTE(SUBSTITUTE(SUBSTITUTE(SUBSTITUTE(DE53,"{会社}",設定!$B$3),"{自分}",設定!$B$4),"{サービス}",設定!$B$5),"{料金}",設定!$B$7),"{日付1}",設定!$B$8),"{日付2}",設定!$B$9),"{時間1}",設定!$B$10),"{時間2}",設定!$B$11),"{時間}","（指定時間）"),"{日付確定}","（確定日）"),"{時間確定}","（確定時間）"))</f>
        <v/>
      </c>
      <c r="AC53" s="1" t="str">
        <f>IFERROR(VLOOKUP(DD53,スクリプト_フロー!$A:$F,4,FALSE),"")</f>
        <v/>
      </c>
      <c r="AD53" s="6" t="str">
        <f t="shared" si="13"/>
        <v/>
      </c>
      <c r="AE53" s="6"/>
      <c r="AF53" s="4" t="str">
        <f>IF(DG53="","",SUBSTITUTE(SUBSTITUTE(SUBSTITUTE(SUBSTITUTE(SUBSTITUTE(SUBSTITUTE(SUBSTITUTE(SUBSTITUTE(SUBSTITUTE(SUBSTITUTE(SUBSTITUTE(DG53,"{会社}",設定!$B$3),"{自分}",設定!$B$4),"{サービス}",設定!$B$5),"{料金}",設定!$B$7),"{日付1}",設定!$B$8),"{日付2}",設定!$B$9),"{時間1}",設定!$B$10),"{時間2}",設定!$B$11),"{時間}","（指定時間）"),"{日付確定}","（確定日）"),"{時間確定}","（確定時間）"))</f>
        <v/>
      </c>
      <c r="AG53" s="1" t="str">
        <f>IFERROR(VLOOKUP(DF53,スクリプト_フロー!$A:$F,4,FALSE),"")</f>
        <v/>
      </c>
      <c r="CZ53" s="1" t="str">
        <f t="shared" si="14"/>
        <v>|</v>
      </c>
      <c r="DA53" s="1" t="str">
        <f>IFERROR(VLOOKUP(CZ53,スクリプト_フロー!$A:$F,5,FALSE),"")</f>
        <v/>
      </c>
      <c r="DB53" s="1" t="str">
        <f t="shared" si="15"/>
        <v>|</v>
      </c>
      <c r="DC53" s="1" t="str">
        <f>IFERROR(VLOOKUP(DB53,スクリプト_フロー!$A:$F,5,FALSE),"")</f>
        <v/>
      </c>
      <c r="DD53" s="1" t="str">
        <f t="shared" si="16"/>
        <v>|</v>
      </c>
      <c r="DE53" s="1" t="str">
        <f>IFERROR(VLOOKUP(DD53,スクリプト_フロー!$A:$F,5,FALSE),"")</f>
        <v/>
      </c>
      <c r="DF53" s="1" t="str">
        <f t="shared" si="17"/>
        <v>|</v>
      </c>
      <c r="DG53" s="1" t="str">
        <f>IFERROR(VLOOKUP(DF53,スクリプト_フロー!$A:$F,5,FALSE),"")</f>
        <v/>
      </c>
    </row>
    <row r="54" spans="1:111" ht="21">
      <c r="A54" s="1">
        <v>53</v>
      </c>
      <c r="B54" s="1" t="s">
        <v>187</v>
      </c>
      <c r="C54" s="1" t="s">
        <v>188</v>
      </c>
      <c r="D54" s="1" t="s">
        <v>189</v>
      </c>
      <c r="E54" s="6"/>
      <c r="F54" s="6"/>
      <c r="G54" s="6" t="s">
        <v>34</v>
      </c>
      <c r="H54" s="6"/>
      <c r="I54" s="4" t="str">
        <f>SUBSTITUTE(SUBSTITUTE(SUBSTITUTE(SUBSTITUTE(SUBSTITUTE(SUBSTITUTE(SUBSTITUTE(SUBSTITUTE(SUBSTITUTE(SUBSTITUTE(SUBSTITUTE(Q54,"{会社}",設定!$B$3),"{自分}",設定!$B$4),"{サービス}",設定!$B$5),"{料金}",設定!$B$7),"{日付1}",設定!$B$8),"{日付2}",設定!$B$9),"{時間1}",設定!$B$10),"{時間2}",設定!$B$11),"{時間}","（指定時間）"),"{日付確定}","（確定日）"),"{時間確定}","（確定時間）")</f>
        <v/>
      </c>
      <c r="J54" s="1" t="str">
        <f>IFERROR(VLOOKUP(P54,スクリプト_フロー!$A:$F,4,FALSE),"")</f>
        <v/>
      </c>
      <c r="K54" s="6" t="s">
        <v>35</v>
      </c>
      <c r="L54" s="6"/>
      <c r="M54" s="6"/>
      <c r="N54" s="6"/>
      <c r="O54" s="1"/>
      <c r="P54" s="1" t="str">
        <f t="shared" si="9"/>
        <v>①架電|</v>
      </c>
      <c r="Q54" s="1" t="str">
        <f>IFERROR(VLOOKUP(P54,スクリプト_フロー!$A:$F,5,FALSE),"")</f>
        <v/>
      </c>
      <c r="R54" s="6" t="str">
        <f t="shared" si="10"/>
        <v/>
      </c>
      <c r="S54" s="6"/>
      <c r="T54" s="4" t="str">
        <f>IF(DA54="","",SUBSTITUTE(SUBSTITUTE(SUBSTITUTE(SUBSTITUTE(SUBSTITUTE(SUBSTITUTE(SUBSTITUTE(SUBSTITUTE(SUBSTITUTE(SUBSTITUTE(SUBSTITUTE(DA54,"{会社}",設定!$B$3),"{自分}",設定!$B$4),"{サービス}",設定!$B$5),"{料金}",設定!$B$7),"{日付1}",設定!$B$8),"{日付2}",設定!$B$9),"{時間1}",設定!$B$10),"{時間2}",設定!$B$11),"{時間}","（指定時間）"),"{日付確定}","（確定日）"),"{時間確定}","（確定時間）"))</f>
        <v/>
      </c>
      <c r="U54" s="1" t="str">
        <f>IFERROR(VLOOKUP(CZ54,スクリプト_フロー!$A:$F,4,FALSE),"")</f>
        <v/>
      </c>
      <c r="V54" s="6" t="str">
        <f t="shared" si="11"/>
        <v/>
      </c>
      <c r="W54" s="6"/>
      <c r="X54" s="4" t="str">
        <f>IF(DC54="","",SUBSTITUTE(SUBSTITUTE(SUBSTITUTE(SUBSTITUTE(SUBSTITUTE(SUBSTITUTE(SUBSTITUTE(SUBSTITUTE(SUBSTITUTE(SUBSTITUTE(SUBSTITUTE(DC54,"{会社}",設定!$B$3),"{自分}",設定!$B$4),"{サービス}",設定!$B$5),"{料金}",設定!$B$7),"{日付1}",設定!$B$8),"{日付2}",設定!$B$9),"{時間1}",設定!$B$10),"{時間2}",設定!$B$11),"{時間}","（指定時間）"),"{日付確定}","（確定日）"),"{時間確定}","（確定時間）"))</f>
        <v/>
      </c>
      <c r="Y54" s="1" t="str">
        <f>IFERROR(VLOOKUP(DB54,スクリプト_フロー!$A:$F,4,FALSE),"")</f>
        <v/>
      </c>
      <c r="Z54" s="6" t="str">
        <f t="shared" si="12"/>
        <v/>
      </c>
      <c r="AA54" s="6"/>
      <c r="AB54" s="4" t="str">
        <f>IF(DE54="","",SUBSTITUTE(SUBSTITUTE(SUBSTITUTE(SUBSTITUTE(SUBSTITUTE(SUBSTITUTE(SUBSTITUTE(SUBSTITUTE(SUBSTITUTE(SUBSTITUTE(SUBSTITUTE(DE54,"{会社}",設定!$B$3),"{自分}",設定!$B$4),"{サービス}",設定!$B$5),"{料金}",設定!$B$7),"{日付1}",設定!$B$8),"{日付2}",設定!$B$9),"{時間1}",設定!$B$10),"{時間2}",設定!$B$11),"{時間}","（指定時間）"),"{日付確定}","（確定日）"),"{時間確定}","（確定時間）"))</f>
        <v/>
      </c>
      <c r="AC54" s="1" t="str">
        <f>IFERROR(VLOOKUP(DD54,スクリプト_フロー!$A:$F,4,FALSE),"")</f>
        <v/>
      </c>
      <c r="AD54" s="6" t="str">
        <f t="shared" si="13"/>
        <v/>
      </c>
      <c r="AE54" s="6"/>
      <c r="AF54" s="4" t="str">
        <f>IF(DG54="","",SUBSTITUTE(SUBSTITUTE(SUBSTITUTE(SUBSTITUTE(SUBSTITUTE(SUBSTITUTE(SUBSTITUTE(SUBSTITUTE(SUBSTITUTE(SUBSTITUTE(SUBSTITUTE(DG54,"{会社}",設定!$B$3),"{自分}",設定!$B$4),"{サービス}",設定!$B$5),"{料金}",設定!$B$7),"{日付1}",設定!$B$8),"{日付2}",設定!$B$9),"{時間1}",設定!$B$10),"{時間2}",設定!$B$11),"{時間}","（指定時間）"),"{日付確定}","（確定日）"),"{時間確定}","（確定時間）"))</f>
        <v/>
      </c>
      <c r="AG54" s="1" t="str">
        <f>IFERROR(VLOOKUP(DF54,スクリプト_フロー!$A:$F,4,FALSE),"")</f>
        <v/>
      </c>
      <c r="CZ54" s="1" t="str">
        <f t="shared" si="14"/>
        <v>|</v>
      </c>
      <c r="DA54" s="1" t="str">
        <f>IFERROR(VLOOKUP(CZ54,スクリプト_フロー!$A:$F,5,FALSE),"")</f>
        <v/>
      </c>
      <c r="DB54" s="1" t="str">
        <f t="shared" si="15"/>
        <v>|</v>
      </c>
      <c r="DC54" s="1" t="str">
        <f>IFERROR(VLOOKUP(DB54,スクリプト_フロー!$A:$F,5,FALSE),"")</f>
        <v/>
      </c>
      <c r="DD54" s="1" t="str">
        <f t="shared" si="16"/>
        <v>|</v>
      </c>
      <c r="DE54" s="1" t="str">
        <f>IFERROR(VLOOKUP(DD54,スクリプト_フロー!$A:$F,5,FALSE),"")</f>
        <v/>
      </c>
      <c r="DF54" s="1" t="str">
        <f t="shared" si="17"/>
        <v>|</v>
      </c>
      <c r="DG54" s="1" t="str">
        <f>IFERROR(VLOOKUP(DF54,スクリプト_フロー!$A:$F,5,FALSE),"")</f>
        <v/>
      </c>
    </row>
    <row r="55" spans="1:111" ht="21">
      <c r="A55" s="1">
        <v>54</v>
      </c>
      <c r="B55" s="1" t="s">
        <v>190</v>
      </c>
      <c r="C55" s="1" t="s">
        <v>191</v>
      </c>
      <c r="D55" s="1" t="s">
        <v>192</v>
      </c>
      <c r="E55" s="6"/>
      <c r="F55" s="6"/>
      <c r="G55" s="6" t="s">
        <v>34</v>
      </c>
      <c r="H55" s="6"/>
      <c r="I55" s="4" t="str">
        <f>SUBSTITUTE(SUBSTITUTE(SUBSTITUTE(SUBSTITUTE(SUBSTITUTE(SUBSTITUTE(SUBSTITUTE(SUBSTITUTE(SUBSTITUTE(SUBSTITUTE(SUBSTITUTE(Q55,"{会社}",設定!$B$3),"{自分}",設定!$B$4),"{サービス}",設定!$B$5),"{料金}",設定!$B$7),"{日付1}",設定!$B$8),"{日付2}",設定!$B$9),"{時間1}",設定!$B$10),"{時間2}",設定!$B$11),"{時間}","（指定時間）"),"{日付確定}","（確定日）"),"{時間確定}","（確定時間）")</f>
        <v/>
      </c>
      <c r="J55" s="1" t="str">
        <f>IFERROR(VLOOKUP(P55,スクリプト_フロー!$A:$F,4,FALSE),"")</f>
        <v/>
      </c>
      <c r="K55" s="6" t="s">
        <v>35</v>
      </c>
      <c r="L55" s="6"/>
      <c r="M55" s="6"/>
      <c r="N55" s="6"/>
      <c r="O55" s="1"/>
      <c r="P55" s="1" t="str">
        <f t="shared" si="9"/>
        <v>①架電|</v>
      </c>
      <c r="Q55" s="1" t="str">
        <f>IFERROR(VLOOKUP(P55,スクリプト_フロー!$A:$F,5,FALSE),"")</f>
        <v/>
      </c>
      <c r="R55" s="6" t="str">
        <f t="shared" si="10"/>
        <v/>
      </c>
      <c r="S55" s="6"/>
      <c r="T55" s="4" t="str">
        <f>IF(DA55="","",SUBSTITUTE(SUBSTITUTE(SUBSTITUTE(SUBSTITUTE(SUBSTITUTE(SUBSTITUTE(SUBSTITUTE(SUBSTITUTE(SUBSTITUTE(SUBSTITUTE(SUBSTITUTE(DA55,"{会社}",設定!$B$3),"{自分}",設定!$B$4),"{サービス}",設定!$B$5),"{料金}",設定!$B$7),"{日付1}",設定!$B$8),"{日付2}",設定!$B$9),"{時間1}",設定!$B$10),"{時間2}",設定!$B$11),"{時間}","（指定時間）"),"{日付確定}","（確定日）"),"{時間確定}","（確定時間）"))</f>
        <v/>
      </c>
      <c r="U55" s="1" t="str">
        <f>IFERROR(VLOOKUP(CZ55,スクリプト_フロー!$A:$F,4,FALSE),"")</f>
        <v/>
      </c>
      <c r="V55" s="6" t="str">
        <f t="shared" si="11"/>
        <v/>
      </c>
      <c r="W55" s="6"/>
      <c r="X55" s="4" t="str">
        <f>IF(DC55="","",SUBSTITUTE(SUBSTITUTE(SUBSTITUTE(SUBSTITUTE(SUBSTITUTE(SUBSTITUTE(SUBSTITUTE(SUBSTITUTE(SUBSTITUTE(SUBSTITUTE(SUBSTITUTE(DC55,"{会社}",設定!$B$3),"{自分}",設定!$B$4),"{サービス}",設定!$B$5),"{料金}",設定!$B$7),"{日付1}",設定!$B$8),"{日付2}",設定!$B$9),"{時間1}",設定!$B$10),"{時間2}",設定!$B$11),"{時間}","（指定時間）"),"{日付確定}","（確定日）"),"{時間確定}","（確定時間）"))</f>
        <v/>
      </c>
      <c r="Y55" s="1" t="str">
        <f>IFERROR(VLOOKUP(DB55,スクリプト_フロー!$A:$F,4,FALSE),"")</f>
        <v/>
      </c>
      <c r="Z55" s="6" t="str">
        <f t="shared" si="12"/>
        <v/>
      </c>
      <c r="AA55" s="6"/>
      <c r="AB55" s="4" t="str">
        <f>IF(DE55="","",SUBSTITUTE(SUBSTITUTE(SUBSTITUTE(SUBSTITUTE(SUBSTITUTE(SUBSTITUTE(SUBSTITUTE(SUBSTITUTE(SUBSTITUTE(SUBSTITUTE(SUBSTITUTE(DE55,"{会社}",設定!$B$3),"{自分}",設定!$B$4),"{サービス}",設定!$B$5),"{料金}",設定!$B$7),"{日付1}",設定!$B$8),"{日付2}",設定!$B$9),"{時間1}",設定!$B$10),"{時間2}",設定!$B$11),"{時間}","（指定時間）"),"{日付確定}","（確定日）"),"{時間確定}","（確定時間）"))</f>
        <v/>
      </c>
      <c r="AC55" s="1" t="str">
        <f>IFERROR(VLOOKUP(DD55,スクリプト_フロー!$A:$F,4,FALSE),"")</f>
        <v/>
      </c>
      <c r="AD55" s="6" t="str">
        <f t="shared" si="13"/>
        <v/>
      </c>
      <c r="AE55" s="6"/>
      <c r="AF55" s="4" t="str">
        <f>IF(DG55="","",SUBSTITUTE(SUBSTITUTE(SUBSTITUTE(SUBSTITUTE(SUBSTITUTE(SUBSTITUTE(SUBSTITUTE(SUBSTITUTE(SUBSTITUTE(SUBSTITUTE(SUBSTITUTE(DG55,"{会社}",設定!$B$3),"{自分}",設定!$B$4),"{サービス}",設定!$B$5),"{料金}",設定!$B$7),"{日付1}",設定!$B$8),"{日付2}",設定!$B$9),"{時間1}",設定!$B$10),"{時間2}",設定!$B$11),"{時間}","（指定時間）"),"{日付確定}","（確定日）"),"{時間確定}","（確定時間）"))</f>
        <v/>
      </c>
      <c r="AG55" s="1" t="str">
        <f>IFERROR(VLOOKUP(DF55,スクリプト_フロー!$A:$F,4,FALSE),"")</f>
        <v/>
      </c>
      <c r="CZ55" s="1" t="str">
        <f t="shared" si="14"/>
        <v>|</v>
      </c>
      <c r="DA55" s="1" t="str">
        <f>IFERROR(VLOOKUP(CZ55,スクリプト_フロー!$A:$F,5,FALSE),"")</f>
        <v/>
      </c>
      <c r="DB55" s="1" t="str">
        <f t="shared" si="15"/>
        <v>|</v>
      </c>
      <c r="DC55" s="1" t="str">
        <f>IFERROR(VLOOKUP(DB55,スクリプト_フロー!$A:$F,5,FALSE),"")</f>
        <v/>
      </c>
      <c r="DD55" s="1" t="str">
        <f t="shared" si="16"/>
        <v>|</v>
      </c>
      <c r="DE55" s="1" t="str">
        <f>IFERROR(VLOOKUP(DD55,スクリプト_フロー!$A:$F,5,FALSE),"")</f>
        <v/>
      </c>
      <c r="DF55" s="1" t="str">
        <f t="shared" si="17"/>
        <v>|</v>
      </c>
      <c r="DG55" s="1" t="str">
        <f>IFERROR(VLOOKUP(DF55,スクリプト_フロー!$A:$F,5,FALSE),"")</f>
        <v/>
      </c>
    </row>
    <row r="56" spans="1:111" ht="21">
      <c r="A56" s="1">
        <v>55</v>
      </c>
      <c r="B56" s="1" t="s">
        <v>193</v>
      </c>
      <c r="C56" s="1" t="s">
        <v>194</v>
      </c>
      <c r="D56" s="1" t="s">
        <v>195</v>
      </c>
      <c r="E56" s="6"/>
      <c r="F56" s="6"/>
      <c r="G56" s="6" t="s">
        <v>34</v>
      </c>
      <c r="H56" s="6"/>
      <c r="I56" s="4" t="str">
        <f>SUBSTITUTE(SUBSTITUTE(SUBSTITUTE(SUBSTITUTE(SUBSTITUTE(SUBSTITUTE(SUBSTITUTE(SUBSTITUTE(SUBSTITUTE(SUBSTITUTE(SUBSTITUTE(Q56,"{会社}",設定!$B$3),"{自分}",設定!$B$4),"{サービス}",設定!$B$5),"{料金}",設定!$B$7),"{日付1}",設定!$B$8),"{日付2}",設定!$B$9),"{時間1}",設定!$B$10),"{時間2}",設定!$B$11),"{時間}","（指定時間）"),"{日付確定}","（確定日）"),"{時間確定}","（確定時間）")</f>
        <v/>
      </c>
      <c r="J56" s="1" t="str">
        <f>IFERROR(VLOOKUP(P56,スクリプト_フロー!$A:$F,4,FALSE),"")</f>
        <v/>
      </c>
      <c r="K56" s="6" t="s">
        <v>35</v>
      </c>
      <c r="L56" s="6"/>
      <c r="M56" s="6"/>
      <c r="N56" s="6"/>
      <c r="O56" s="1"/>
      <c r="P56" s="1" t="str">
        <f t="shared" si="9"/>
        <v>①架電|</v>
      </c>
      <c r="Q56" s="1" t="str">
        <f>IFERROR(VLOOKUP(P56,スクリプト_フロー!$A:$F,5,FALSE),"")</f>
        <v/>
      </c>
      <c r="R56" s="6" t="str">
        <f t="shared" si="10"/>
        <v/>
      </c>
      <c r="S56" s="6"/>
      <c r="T56" s="4" t="str">
        <f>IF(DA56="","",SUBSTITUTE(SUBSTITUTE(SUBSTITUTE(SUBSTITUTE(SUBSTITUTE(SUBSTITUTE(SUBSTITUTE(SUBSTITUTE(SUBSTITUTE(SUBSTITUTE(SUBSTITUTE(DA56,"{会社}",設定!$B$3),"{自分}",設定!$B$4),"{サービス}",設定!$B$5),"{料金}",設定!$B$7),"{日付1}",設定!$B$8),"{日付2}",設定!$B$9),"{時間1}",設定!$B$10),"{時間2}",設定!$B$11),"{時間}","（指定時間）"),"{日付確定}","（確定日）"),"{時間確定}","（確定時間）"))</f>
        <v/>
      </c>
      <c r="U56" s="1" t="str">
        <f>IFERROR(VLOOKUP(CZ56,スクリプト_フロー!$A:$F,4,FALSE),"")</f>
        <v/>
      </c>
      <c r="V56" s="6" t="str">
        <f t="shared" si="11"/>
        <v/>
      </c>
      <c r="W56" s="6"/>
      <c r="X56" s="4" t="str">
        <f>IF(DC56="","",SUBSTITUTE(SUBSTITUTE(SUBSTITUTE(SUBSTITUTE(SUBSTITUTE(SUBSTITUTE(SUBSTITUTE(SUBSTITUTE(SUBSTITUTE(SUBSTITUTE(SUBSTITUTE(DC56,"{会社}",設定!$B$3),"{自分}",設定!$B$4),"{サービス}",設定!$B$5),"{料金}",設定!$B$7),"{日付1}",設定!$B$8),"{日付2}",設定!$B$9),"{時間1}",設定!$B$10),"{時間2}",設定!$B$11),"{時間}","（指定時間）"),"{日付確定}","（確定日）"),"{時間確定}","（確定時間）"))</f>
        <v/>
      </c>
      <c r="Y56" s="1" t="str">
        <f>IFERROR(VLOOKUP(DB56,スクリプト_フロー!$A:$F,4,FALSE),"")</f>
        <v/>
      </c>
      <c r="Z56" s="6" t="str">
        <f t="shared" si="12"/>
        <v/>
      </c>
      <c r="AA56" s="6"/>
      <c r="AB56" s="4" t="str">
        <f>IF(DE56="","",SUBSTITUTE(SUBSTITUTE(SUBSTITUTE(SUBSTITUTE(SUBSTITUTE(SUBSTITUTE(SUBSTITUTE(SUBSTITUTE(SUBSTITUTE(SUBSTITUTE(SUBSTITUTE(DE56,"{会社}",設定!$B$3),"{自分}",設定!$B$4),"{サービス}",設定!$B$5),"{料金}",設定!$B$7),"{日付1}",設定!$B$8),"{日付2}",設定!$B$9),"{時間1}",設定!$B$10),"{時間2}",設定!$B$11),"{時間}","（指定時間）"),"{日付確定}","（確定日）"),"{時間確定}","（確定時間）"))</f>
        <v/>
      </c>
      <c r="AC56" s="1" t="str">
        <f>IFERROR(VLOOKUP(DD56,スクリプト_フロー!$A:$F,4,FALSE),"")</f>
        <v/>
      </c>
      <c r="AD56" s="6" t="str">
        <f t="shared" si="13"/>
        <v/>
      </c>
      <c r="AE56" s="6"/>
      <c r="AF56" s="4" t="str">
        <f>IF(DG56="","",SUBSTITUTE(SUBSTITUTE(SUBSTITUTE(SUBSTITUTE(SUBSTITUTE(SUBSTITUTE(SUBSTITUTE(SUBSTITUTE(SUBSTITUTE(SUBSTITUTE(SUBSTITUTE(DG56,"{会社}",設定!$B$3),"{自分}",設定!$B$4),"{サービス}",設定!$B$5),"{料金}",設定!$B$7),"{日付1}",設定!$B$8),"{日付2}",設定!$B$9),"{時間1}",設定!$B$10),"{時間2}",設定!$B$11),"{時間}","（指定時間）"),"{日付確定}","（確定日）"),"{時間確定}","（確定時間）"))</f>
        <v/>
      </c>
      <c r="AG56" s="1" t="str">
        <f>IFERROR(VLOOKUP(DF56,スクリプト_フロー!$A:$F,4,FALSE),"")</f>
        <v/>
      </c>
      <c r="CZ56" s="1" t="str">
        <f t="shared" si="14"/>
        <v>|</v>
      </c>
      <c r="DA56" s="1" t="str">
        <f>IFERROR(VLOOKUP(CZ56,スクリプト_フロー!$A:$F,5,FALSE),"")</f>
        <v/>
      </c>
      <c r="DB56" s="1" t="str">
        <f t="shared" si="15"/>
        <v>|</v>
      </c>
      <c r="DC56" s="1" t="str">
        <f>IFERROR(VLOOKUP(DB56,スクリプト_フロー!$A:$F,5,FALSE),"")</f>
        <v/>
      </c>
      <c r="DD56" s="1" t="str">
        <f t="shared" si="16"/>
        <v>|</v>
      </c>
      <c r="DE56" s="1" t="str">
        <f>IFERROR(VLOOKUP(DD56,スクリプト_フロー!$A:$F,5,FALSE),"")</f>
        <v/>
      </c>
      <c r="DF56" s="1" t="str">
        <f t="shared" si="17"/>
        <v>|</v>
      </c>
      <c r="DG56" s="1" t="str">
        <f>IFERROR(VLOOKUP(DF56,スクリプト_フロー!$A:$F,5,FALSE),"")</f>
        <v/>
      </c>
    </row>
    <row r="57" spans="1:111" ht="21">
      <c r="A57" s="1">
        <v>56</v>
      </c>
      <c r="B57" s="1" t="s">
        <v>196</v>
      </c>
      <c r="C57" s="1" t="s">
        <v>197</v>
      </c>
      <c r="D57" s="1" t="s">
        <v>198</v>
      </c>
      <c r="E57" s="6"/>
      <c r="F57" s="6"/>
      <c r="G57" s="6" t="s">
        <v>34</v>
      </c>
      <c r="H57" s="6"/>
      <c r="I57" s="4" t="str">
        <f>SUBSTITUTE(SUBSTITUTE(SUBSTITUTE(SUBSTITUTE(SUBSTITUTE(SUBSTITUTE(SUBSTITUTE(SUBSTITUTE(SUBSTITUTE(SUBSTITUTE(SUBSTITUTE(Q57,"{会社}",設定!$B$3),"{自分}",設定!$B$4),"{サービス}",設定!$B$5),"{料金}",設定!$B$7),"{日付1}",設定!$B$8),"{日付2}",設定!$B$9),"{時間1}",設定!$B$10),"{時間2}",設定!$B$11),"{時間}","（指定時間）"),"{日付確定}","（確定日）"),"{時間確定}","（確定時間）")</f>
        <v/>
      </c>
      <c r="J57" s="1" t="str">
        <f>IFERROR(VLOOKUP(P57,スクリプト_フロー!$A:$F,4,FALSE),"")</f>
        <v/>
      </c>
      <c r="K57" s="6" t="s">
        <v>35</v>
      </c>
      <c r="L57" s="6"/>
      <c r="M57" s="6"/>
      <c r="N57" s="6"/>
      <c r="O57" s="1"/>
      <c r="P57" s="1" t="str">
        <f t="shared" si="9"/>
        <v>①架電|</v>
      </c>
      <c r="Q57" s="1" t="str">
        <f>IFERROR(VLOOKUP(P57,スクリプト_フロー!$A:$F,5,FALSE),"")</f>
        <v/>
      </c>
      <c r="R57" s="6" t="str">
        <f t="shared" si="10"/>
        <v/>
      </c>
      <c r="S57" s="6"/>
      <c r="T57" s="4" t="str">
        <f>IF(DA57="","",SUBSTITUTE(SUBSTITUTE(SUBSTITUTE(SUBSTITUTE(SUBSTITUTE(SUBSTITUTE(SUBSTITUTE(SUBSTITUTE(SUBSTITUTE(SUBSTITUTE(SUBSTITUTE(DA57,"{会社}",設定!$B$3),"{自分}",設定!$B$4),"{サービス}",設定!$B$5),"{料金}",設定!$B$7),"{日付1}",設定!$B$8),"{日付2}",設定!$B$9),"{時間1}",設定!$B$10),"{時間2}",設定!$B$11),"{時間}","（指定時間）"),"{日付確定}","（確定日）"),"{時間確定}","（確定時間）"))</f>
        <v/>
      </c>
      <c r="U57" s="1" t="str">
        <f>IFERROR(VLOOKUP(CZ57,スクリプト_フロー!$A:$F,4,FALSE),"")</f>
        <v/>
      </c>
      <c r="V57" s="6" t="str">
        <f t="shared" si="11"/>
        <v/>
      </c>
      <c r="W57" s="6"/>
      <c r="X57" s="4" t="str">
        <f>IF(DC57="","",SUBSTITUTE(SUBSTITUTE(SUBSTITUTE(SUBSTITUTE(SUBSTITUTE(SUBSTITUTE(SUBSTITUTE(SUBSTITUTE(SUBSTITUTE(SUBSTITUTE(SUBSTITUTE(DC57,"{会社}",設定!$B$3),"{自分}",設定!$B$4),"{サービス}",設定!$B$5),"{料金}",設定!$B$7),"{日付1}",設定!$B$8),"{日付2}",設定!$B$9),"{時間1}",設定!$B$10),"{時間2}",設定!$B$11),"{時間}","（指定時間）"),"{日付確定}","（確定日）"),"{時間確定}","（確定時間）"))</f>
        <v/>
      </c>
      <c r="Y57" s="1" t="str">
        <f>IFERROR(VLOOKUP(DB57,スクリプト_フロー!$A:$F,4,FALSE),"")</f>
        <v/>
      </c>
      <c r="Z57" s="6" t="str">
        <f t="shared" si="12"/>
        <v/>
      </c>
      <c r="AA57" s="6"/>
      <c r="AB57" s="4" t="str">
        <f>IF(DE57="","",SUBSTITUTE(SUBSTITUTE(SUBSTITUTE(SUBSTITUTE(SUBSTITUTE(SUBSTITUTE(SUBSTITUTE(SUBSTITUTE(SUBSTITUTE(SUBSTITUTE(SUBSTITUTE(DE57,"{会社}",設定!$B$3),"{自分}",設定!$B$4),"{サービス}",設定!$B$5),"{料金}",設定!$B$7),"{日付1}",設定!$B$8),"{日付2}",設定!$B$9),"{時間1}",設定!$B$10),"{時間2}",設定!$B$11),"{時間}","（指定時間）"),"{日付確定}","（確定日）"),"{時間確定}","（確定時間）"))</f>
        <v/>
      </c>
      <c r="AC57" s="1" t="str">
        <f>IFERROR(VLOOKUP(DD57,スクリプト_フロー!$A:$F,4,FALSE),"")</f>
        <v/>
      </c>
      <c r="AD57" s="6" t="str">
        <f t="shared" si="13"/>
        <v/>
      </c>
      <c r="AE57" s="6"/>
      <c r="AF57" s="4" t="str">
        <f>IF(DG57="","",SUBSTITUTE(SUBSTITUTE(SUBSTITUTE(SUBSTITUTE(SUBSTITUTE(SUBSTITUTE(SUBSTITUTE(SUBSTITUTE(SUBSTITUTE(SUBSTITUTE(SUBSTITUTE(DG57,"{会社}",設定!$B$3),"{自分}",設定!$B$4),"{サービス}",設定!$B$5),"{料金}",設定!$B$7),"{日付1}",設定!$B$8),"{日付2}",設定!$B$9),"{時間1}",設定!$B$10),"{時間2}",設定!$B$11),"{時間}","（指定時間）"),"{日付確定}","（確定日）"),"{時間確定}","（確定時間）"))</f>
        <v/>
      </c>
      <c r="AG57" s="1" t="str">
        <f>IFERROR(VLOOKUP(DF57,スクリプト_フロー!$A:$F,4,FALSE),"")</f>
        <v/>
      </c>
      <c r="CZ57" s="1" t="str">
        <f t="shared" si="14"/>
        <v>|</v>
      </c>
      <c r="DA57" s="1" t="str">
        <f>IFERROR(VLOOKUP(CZ57,スクリプト_フロー!$A:$F,5,FALSE),"")</f>
        <v/>
      </c>
      <c r="DB57" s="1" t="str">
        <f t="shared" si="15"/>
        <v>|</v>
      </c>
      <c r="DC57" s="1" t="str">
        <f>IFERROR(VLOOKUP(DB57,スクリプト_フロー!$A:$F,5,FALSE),"")</f>
        <v/>
      </c>
      <c r="DD57" s="1" t="str">
        <f t="shared" si="16"/>
        <v>|</v>
      </c>
      <c r="DE57" s="1" t="str">
        <f>IFERROR(VLOOKUP(DD57,スクリプト_フロー!$A:$F,5,FALSE),"")</f>
        <v/>
      </c>
      <c r="DF57" s="1" t="str">
        <f t="shared" si="17"/>
        <v>|</v>
      </c>
      <c r="DG57" s="1" t="str">
        <f>IFERROR(VLOOKUP(DF57,スクリプト_フロー!$A:$F,5,FALSE),"")</f>
        <v/>
      </c>
    </row>
    <row r="58" spans="1:111" ht="21">
      <c r="A58" s="1">
        <v>57</v>
      </c>
      <c r="B58" s="1" t="s">
        <v>199</v>
      </c>
      <c r="C58" s="1" t="s">
        <v>200</v>
      </c>
      <c r="D58" s="1" t="s">
        <v>201</v>
      </c>
      <c r="E58" s="6"/>
      <c r="F58" s="6"/>
      <c r="G58" s="6" t="s">
        <v>34</v>
      </c>
      <c r="H58" s="6"/>
      <c r="I58" s="4" t="str">
        <f>SUBSTITUTE(SUBSTITUTE(SUBSTITUTE(SUBSTITUTE(SUBSTITUTE(SUBSTITUTE(SUBSTITUTE(SUBSTITUTE(SUBSTITUTE(SUBSTITUTE(SUBSTITUTE(Q58,"{会社}",設定!$B$3),"{自分}",設定!$B$4),"{サービス}",設定!$B$5),"{料金}",設定!$B$7),"{日付1}",設定!$B$8),"{日付2}",設定!$B$9),"{時間1}",設定!$B$10),"{時間2}",設定!$B$11),"{時間}","（指定時間）"),"{日付確定}","（確定日）"),"{時間確定}","（確定時間）")</f>
        <v/>
      </c>
      <c r="J58" s="1" t="str">
        <f>IFERROR(VLOOKUP(P58,スクリプト_フロー!$A:$F,4,FALSE),"")</f>
        <v/>
      </c>
      <c r="K58" s="6" t="s">
        <v>35</v>
      </c>
      <c r="L58" s="6"/>
      <c r="M58" s="6"/>
      <c r="N58" s="6"/>
      <c r="O58" s="1"/>
      <c r="P58" s="1" t="str">
        <f t="shared" si="9"/>
        <v>①架電|</v>
      </c>
      <c r="Q58" s="1" t="str">
        <f>IFERROR(VLOOKUP(P58,スクリプト_フロー!$A:$F,5,FALSE),"")</f>
        <v/>
      </c>
      <c r="R58" s="6" t="str">
        <f t="shared" si="10"/>
        <v/>
      </c>
      <c r="S58" s="6"/>
      <c r="T58" s="4" t="str">
        <f>IF(DA58="","",SUBSTITUTE(SUBSTITUTE(SUBSTITUTE(SUBSTITUTE(SUBSTITUTE(SUBSTITUTE(SUBSTITUTE(SUBSTITUTE(SUBSTITUTE(SUBSTITUTE(SUBSTITUTE(DA58,"{会社}",設定!$B$3),"{自分}",設定!$B$4),"{サービス}",設定!$B$5),"{料金}",設定!$B$7),"{日付1}",設定!$B$8),"{日付2}",設定!$B$9),"{時間1}",設定!$B$10),"{時間2}",設定!$B$11),"{時間}","（指定時間）"),"{日付確定}","（確定日）"),"{時間確定}","（確定時間）"))</f>
        <v/>
      </c>
      <c r="U58" s="1" t="str">
        <f>IFERROR(VLOOKUP(CZ58,スクリプト_フロー!$A:$F,4,FALSE),"")</f>
        <v/>
      </c>
      <c r="V58" s="6" t="str">
        <f t="shared" si="11"/>
        <v/>
      </c>
      <c r="W58" s="6"/>
      <c r="X58" s="4" t="str">
        <f>IF(DC58="","",SUBSTITUTE(SUBSTITUTE(SUBSTITUTE(SUBSTITUTE(SUBSTITUTE(SUBSTITUTE(SUBSTITUTE(SUBSTITUTE(SUBSTITUTE(SUBSTITUTE(SUBSTITUTE(DC58,"{会社}",設定!$B$3),"{自分}",設定!$B$4),"{サービス}",設定!$B$5),"{料金}",設定!$B$7),"{日付1}",設定!$B$8),"{日付2}",設定!$B$9),"{時間1}",設定!$B$10),"{時間2}",設定!$B$11),"{時間}","（指定時間）"),"{日付確定}","（確定日）"),"{時間確定}","（確定時間）"))</f>
        <v/>
      </c>
      <c r="Y58" s="1" t="str">
        <f>IFERROR(VLOOKUP(DB58,スクリプト_フロー!$A:$F,4,FALSE),"")</f>
        <v/>
      </c>
      <c r="Z58" s="6" t="str">
        <f t="shared" si="12"/>
        <v/>
      </c>
      <c r="AA58" s="6"/>
      <c r="AB58" s="4" t="str">
        <f>IF(DE58="","",SUBSTITUTE(SUBSTITUTE(SUBSTITUTE(SUBSTITUTE(SUBSTITUTE(SUBSTITUTE(SUBSTITUTE(SUBSTITUTE(SUBSTITUTE(SUBSTITUTE(SUBSTITUTE(DE58,"{会社}",設定!$B$3),"{自分}",設定!$B$4),"{サービス}",設定!$B$5),"{料金}",設定!$B$7),"{日付1}",設定!$B$8),"{日付2}",設定!$B$9),"{時間1}",設定!$B$10),"{時間2}",設定!$B$11),"{時間}","（指定時間）"),"{日付確定}","（確定日）"),"{時間確定}","（確定時間）"))</f>
        <v/>
      </c>
      <c r="AC58" s="1" t="str">
        <f>IFERROR(VLOOKUP(DD58,スクリプト_フロー!$A:$F,4,FALSE),"")</f>
        <v/>
      </c>
      <c r="AD58" s="6" t="str">
        <f t="shared" si="13"/>
        <v/>
      </c>
      <c r="AE58" s="6"/>
      <c r="AF58" s="4" t="str">
        <f>IF(DG58="","",SUBSTITUTE(SUBSTITUTE(SUBSTITUTE(SUBSTITUTE(SUBSTITUTE(SUBSTITUTE(SUBSTITUTE(SUBSTITUTE(SUBSTITUTE(SUBSTITUTE(SUBSTITUTE(DG58,"{会社}",設定!$B$3),"{自分}",設定!$B$4),"{サービス}",設定!$B$5),"{料金}",設定!$B$7),"{日付1}",設定!$B$8),"{日付2}",設定!$B$9),"{時間1}",設定!$B$10),"{時間2}",設定!$B$11),"{時間}","（指定時間）"),"{日付確定}","（確定日）"),"{時間確定}","（確定時間）"))</f>
        <v/>
      </c>
      <c r="AG58" s="1" t="str">
        <f>IFERROR(VLOOKUP(DF58,スクリプト_フロー!$A:$F,4,FALSE),"")</f>
        <v/>
      </c>
      <c r="CZ58" s="1" t="str">
        <f t="shared" si="14"/>
        <v>|</v>
      </c>
      <c r="DA58" s="1" t="str">
        <f>IFERROR(VLOOKUP(CZ58,スクリプト_フロー!$A:$F,5,FALSE),"")</f>
        <v/>
      </c>
      <c r="DB58" s="1" t="str">
        <f t="shared" si="15"/>
        <v>|</v>
      </c>
      <c r="DC58" s="1" t="str">
        <f>IFERROR(VLOOKUP(DB58,スクリプト_フロー!$A:$F,5,FALSE),"")</f>
        <v/>
      </c>
      <c r="DD58" s="1" t="str">
        <f t="shared" si="16"/>
        <v>|</v>
      </c>
      <c r="DE58" s="1" t="str">
        <f>IFERROR(VLOOKUP(DD58,スクリプト_フロー!$A:$F,5,FALSE),"")</f>
        <v/>
      </c>
      <c r="DF58" s="1" t="str">
        <f t="shared" si="17"/>
        <v>|</v>
      </c>
      <c r="DG58" s="1" t="str">
        <f>IFERROR(VLOOKUP(DF58,スクリプト_フロー!$A:$F,5,FALSE),"")</f>
        <v/>
      </c>
    </row>
    <row r="59" spans="1:111" ht="21">
      <c r="A59" s="1">
        <v>58</v>
      </c>
      <c r="B59" s="1" t="s">
        <v>202</v>
      </c>
      <c r="C59" s="1" t="s">
        <v>203</v>
      </c>
      <c r="D59" s="1" t="s">
        <v>204</v>
      </c>
      <c r="E59" s="6"/>
      <c r="F59" s="6"/>
      <c r="G59" s="6" t="s">
        <v>34</v>
      </c>
      <c r="H59" s="6"/>
      <c r="I59" s="4" t="str">
        <f>SUBSTITUTE(SUBSTITUTE(SUBSTITUTE(SUBSTITUTE(SUBSTITUTE(SUBSTITUTE(SUBSTITUTE(SUBSTITUTE(SUBSTITUTE(SUBSTITUTE(SUBSTITUTE(Q59,"{会社}",設定!$B$3),"{自分}",設定!$B$4),"{サービス}",設定!$B$5),"{料金}",設定!$B$7),"{日付1}",設定!$B$8),"{日付2}",設定!$B$9),"{時間1}",設定!$B$10),"{時間2}",設定!$B$11),"{時間}","（指定時間）"),"{日付確定}","（確定日）"),"{時間確定}","（確定時間）")</f>
        <v/>
      </c>
      <c r="J59" s="1" t="str">
        <f>IFERROR(VLOOKUP(P59,スクリプト_フロー!$A:$F,4,FALSE),"")</f>
        <v/>
      </c>
      <c r="K59" s="6" t="s">
        <v>35</v>
      </c>
      <c r="L59" s="6"/>
      <c r="M59" s="6"/>
      <c r="N59" s="6"/>
      <c r="O59" s="1"/>
      <c r="P59" s="1" t="str">
        <f t="shared" si="9"/>
        <v>①架電|</v>
      </c>
      <c r="Q59" s="1" t="str">
        <f>IFERROR(VLOOKUP(P59,スクリプト_フロー!$A:$F,5,FALSE),"")</f>
        <v/>
      </c>
      <c r="R59" s="6" t="str">
        <f t="shared" si="10"/>
        <v/>
      </c>
      <c r="S59" s="6"/>
      <c r="T59" s="4" t="str">
        <f>IF(DA59="","",SUBSTITUTE(SUBSTITUTE(SUBSTITUTE(SUBSTITUTE(SUBSTITUTE(SUBSTITUTE(SUBSTITUTE(SUBSTITUTE(SUBSTITUTE(SUBSTITUTE(SUBSTITUTE(DA59,"{会社}",設定!$B$3),"{自分}",設定!$B$4),"{サービス}",設定!$B$5),"{料金}",設定!$B$7),"{日付1}",設定!$B$8),"{日付2}",設定!$B$9),"{時間1}",設定!$B$10),"{時間2}",設定!$B$11),"{時間}","（指定時間）"),"{日付確定}","（確定日）"),"{時間確定}","（確定時間）"))</f>
        <v/>
      </c>
      <c r="U59" s="1" t="str">
        <f>IFERROR(VLOOKUP(CZ59,スクリプト_フロー!$A:$F,4,FALSE),"")</f>
        <v/>
      </c>
      <c r="V59" s="6" t="str">
        <f t="shared" si="11"/>
        <v/>
      </c>
      <c r="W59" s="6"/>
      <c r="X59" s="4" t="str">
        <f>IF(DC59="","",SUBSTITUTE(SUBSTITUTE(SUBSTITUTE(SUBSTITUTE(SUBSTITUTE(SUBSTITUTE(SUBSTITUTE(SUBSTITUTE(SUBSTITUTE(SUBSTITUTE(SUBSTITUTE(DC59,"{会社}",設定!$B$3),"{自分}",設定!$B$4),"{サービス}",設定!$B$5),"{料金}",設定!$B$7),"{日付1}",設定!$B$8),"{日付2}",設定!$B$9),"{時間1}",設定!$B$10),"{時間2}",設定!$B$11),"{時間}","（指定時間）"),"{日付確定}","（確定日）"),"{時間確定}","（確定時間）"))</f>
        <v/>
      </c>
      <c r="Y59" s="1" t="str">
        <f>IFERROR(VLOOKUP(DB59,スクリプト_フロー!$A:$F,4,FALSE),"")</f>
        <v/>
      </c>
      <c r="Z59" s="6" t="str">
        <f t="shared" si="12"/>
        <v/>
      </c>
      <c r="AA59" s="6"/>
      <c r="AB59" s="4" t="str">
        <f>IF(DE59="","",SUBSTITUTE(SUBSTITUTE(SUBSTITUTE(SUBSTITUTE(SUBSTITUTE(SUBSTITUTE(SUBSTITUTE(SUBSTITUTE(SUBSTITUTE(SUBSTITUTE(SUBSTITUTE(DE59,"{会社}",設定!$B$3),"{自分}",設定!$B$4),"{サービス}",設定!$B$5),"{料金}",設定!$B$7),"{日付1}",設定!$B$8),"{日付2}",設定!$B$9),"{時間1}",設定!$B$10),"{時間2}",設定!$B$11),"{時間}","（指定時間）"),"{日付確定}","（確定日）"),"{時間確定}","（確定時間）"))</f>
        <v/>
      </c>
      <c r="AC59" s="1" t="str">
        <f>IFERROR(VLOOKUP(DD59,スクリプト_フロー!$A:$F,4,FALSE),"")</f>
        <v/>
      </c>
      <c r="AD59" s="6" t="str">
        <f t="shared" si="13"/>
        <v/>
      </c>
      <c r="AE59" s="6"/>
      <c r="AF59" s="4" t="str">
        <f>IF(DG59="","",SUBSTITUTE(SUBSTITUTE(SUBSTITUTE(SUBSTITUTE(SUBSTITUTE(SUBSTITUTE(SUBSTITUTE(SUBSTITUTE(SUBSTITUTE(SUBSTITUTE(SUBSTITUTE(DG59,"{会社}",設定!$B$3),"{自分}",設定!$B$4),"{サービス}",設定!$B$5),"{料金}",設定!$B$7),"{日付1}",設定!$B$8),"{日付2}",設定!$B$9),"{時間1}",設定!$B$10),"{時間2}",設定!$B$11),"{時間}","（指定時間）"),"{日付確定}","（確定日）"),"{時間確定}","（確定時間）"))</f>
        <v/>
      </c>
      <c r="AG59" s="1" t="str">
        <f>IFERROR(VLOOKUP(DF59,スクリプト_フロー!$A:$F,4,FALSE),"")</f>
        <v/>
      </c>
      <c r="CZ59" s="1" t="str">
        <f t="shared" si="14"/>
        <v>|</v>
      </c>
      <c r="DA59" s="1" t="str">
        <f>IFERROR(VLOOKUP(CZ59,スクリプト_フロー!$A:$F,5,FALSE),"")</f>
        <v/>
      </c>
      <c r="DB59" s="1" t="str">
        <f t="shared" si="15"/>
        <v>|</v>
      </c>
      <c r="DC59" s="1" t="str">
        <f>IFERROR(VLOOKUP(DB59,スクリプト_フロー!$A:$F,5,FALSE),"")</f>
        <v/>
      </c>
      <c r="DD59" s="1" t="str">
        <f t="shared" si="16"/>
        <v>|</v>
      </c>
      <c r="DE59" s="1" t="str">
        <f>IFERROR(VLOOKUP(DD59,スクリプト_フロー!$A:$F,5,FALSE),"")</f>
        <v/>
      </c>
      <c r="DF59" s="1" t="str">
        <f t="shared" si="17"/>
        <v>|</v>
      </c>
      <c r="DG59" s="1" t="str">
        <f>IFERROR(VLOOKUP(DF59,スクリプト_フロー!$A:$F,5,FALSE),"")</f>
        <v/>
      </c>
    </row>
    <row r="60" spans="1:111" ht="21">
      <c r="A60" s="1">
        <v>59</v>
      </c>
      <c r="B60" s="1" t="s">
        <v>205</v>
      </c>
      <c r="C60" s="1" t="s">
        <v>206</v>
      </c>
      <c r="D60" s="1" t="s">
        <v>207</v>
      </c>
      <c r="E60" s="6"/>
      <c r="F60" s="6"/>
      <c r="G60" s="6" t="s">
        <v>34</v>
      </c>
      <c r="H60" s="6"/>
      <c r="I60" s="4" t="str">
        <f>SUBSTITUTE(SUBSTITUTE(SUBSTITUTE(SUBSTITUTE(SUBSTITUTE(SUBSTITUTE(SUBSTITUTE(SUBSTITUTE(SUBSTITUTE(SUBSTITUTE(SUBSTITUTE(Q60,"{会社}",設定!$B$3),"{自分}",設定!$B$4),"{サービス}",設定!$B$5),"{料金}",設定!$B$7),"{日付1}",設定!$B$8),"{日付2}",設定!$B$9),"{時間1}",設定!$B$10),"{時間2}",設定!$B$11),"{時間}","（指定時間）"),"{日付確定}","（確定日）"),"{時間確定}","（確定時間）")</f>
        <v/>
      </c>
      <c r="J60" s="1" t="str">
        <f>IFERROR(VLOOKUP(P60,スクリプト_フロー!$A:$F,4,FALSE),"")</f>
        <v/>
      </c>
      <c r="K60" s="6" t="s">
        <v>35</v>
      </c>
      <c r="L60" s="6"/>
      <c r="M60" s="6"/>
      <c r="N60" s="6"/>
      <c r="O60" s="1"/>
      <c r="P60" s="1" t="str">
        <f t="shared" si="9"/>
        <v>①架電|</v>
      </c>
      <c r="Q60" s="1" t="str">
        <f>IFERROR(VLOOKUP(P60,スクリプト_フロー!$A:$F,5,FALSE),"")</f>
        <v/>
      </c>
      <c r="R60" s="6" t="str">
        <f t="shared" si="10"/>
        <v/>
      </c>
      <c r="S60" s="6"/>
      <c r="T60" s="4" t="str">
        <f>IF(DA60="","",SUBSTITUTE(SUBSTITUTE(SUBSTITUTE(SUBSTITUTE(SUBSTITUTE(SUBSTITUTE(SUBSTITUTE(SUBSTITUTE(SUBSTITUTE(SUBSTITUTE(SUBSTITUTE(DA60,"{会社}",設定!$B$3),"{自分}",設定!$B$4),"{サービス}",設定!$B$5),"{料金}",設定!$B$7),"{日付1}",設定!$B$8),"{日付2}",設定!$B$9),"{時間1}",設定!$B$10),"{時間2}",設定!$B$11),"{時間}","（指定時間）"),"{日付確定}","（確定日）"),"{時間確定}","（確定時間）"))</f>
        <v/>
      </c>
      <c r="U60" s="1" t="str">
        <f>IFERROR(VLOOKUP(CZ60,スクリプト_フロー!$A:$F,4,FALSE),"")</f>
        <v/>
      </c>
      <c r="V60" s="6" t="str">
        <f t="shared" si="11"/>
        <v/>
      </c>
      <c r="W60" s="6"/>
      <c r="X60" s="4" t="str">
        <f>IF(DC60="","",SUBSTITUTE(SUBSTITUTE(SUBSTITUTE(SUBSTITUTE(SUBSTITUTE(SUBSTITUTE(SUBSTITUTE(SUBSTITUTE(SUBSTITUTE(SUBSTITUTE(SUBSTITUTE(DC60,"{会社}",設定!$B$3),"{自分}",設定!$B$4),"{サービス}",設定!$B$5),"{料金}",設定!$B$7),"{日付1}",設定!$B$8),"{日付2}",設定!$B$9),"{時間1}",設定!$B$10),"{時間2}",設定!$B$11),"{時間}","（指定時間）"),"{日付確定}","（確定日）"),"{時間確定}","（確定時間）"))</f>
        <v/>
      </c>
      <c r="Y60" s="1" t="str">
        <f>IFERROR(VLOOKUP(DB60,スクリプト_フロー!$A:$F,4,FALSE),"")</f>
        <v/>
      </c>
      <c r="Z60" s="6" t="str">
        <f t="shared" si="12"/>
        <v/>
      </c>
      <c r="AA60" s="6"/>
      <c r="AB60" s="4" t="str">
        <f>IF(DE60="","",SUBSTITUTE(SUBSTITUTE(SUBSTITUTE(SUBSTITUTE(SUBSTITUTE(SUBSTITUTE(SUBSTITUTE(SUBSTITUTE(SUBSTITUTE(SUBSTITUTE(SUBSTITUTE(DE60,"{会社}",設定!$B$3),"{自分}",設定!$B$4),"{サービス}",設定!$B$5),"{料金}",設定!$B$7),"{日付1}",設定!$B$8),"{日付2}",設定!$B$9),"{時間1}",設定!$B$10),"{時間2}",設定!$B$11),"{時間}","（指定時間）"),"{日付確定}","（確定日）"),"{時間確定}","（確定時間）"))</f>
        <v/>
      </c>
      <c r="AC60" s="1" t="str">
        <f>IFERROR(VLOOKUP(DD60,スクリプト_フロー!$A:$F,4,FALSE),"")</f>
        <v/>
      </c>
      <c r="AD60" s="6" t="str">
        <f t="shared" si="13"/>
        <v/>
      </c>
      <c r="AE60" s="6"/>
      <c r="AF60" s="4" t="str">
        <f>IF(DG60="","",SUBSTITUTE(SUBSTITUTE(SUBSTITUTE(SUBSTITUTE(SUBSTITUTE(SUBSTITUTE(SUBSTITUTE(SUBSTITUTE(SUBSTITUTE(SUBSTITUTE(SUBSTITUTE(DG60,"{会社}",設定!$B$3),"{自分}",設定!$B$4),"{サービス}",設定!$B$5),"{料金}",設定!$B$7),"{日付1}",設定!$B$8),"{日付2}",設定!$B$9),"{時間1}",設定!$B$10),"{時間2}",設定!$B$11),"{時間}","（指定時間）"),"{日付確定}","（確定日）"),"{時間確定}","（確定時間）"))</f>
        <v/>
      </c>
      <c r="AG60" s="1" t="str">
        <f>IFERROR(VLOOKUP(DF60,スクリプト_フロー!$A:$F,4,FALSE),"")</f>
        <v/>
      </c>
      <c r="CZ60" s="1" t="str">
        <f t="shared" si="14"/>
        <v>|</v>
      </c>
      <c r="DA60" s="1" t="str">
        <f>IFERROR(VLOOKUP(CZ60,スクリプト_フロー!$A:$F,5,FALSE),"")</f>
        <v/>
      </c>
      <c r="DB60" s="1" t="str">
        <f t="shared" si="15"/>
        <v>|</v>
      </c>
      <c r="DC60" s="1" t="str">
        <f>IFERROR(VLOOKUP(DB60,スクリプト_フロー!$A:$F,5,FALSE),"")</f>
        <v/>
      </c>
      <c r="DD60" s="1" t="str">
        <f t="shared" si="16"/>
        <v>|</v>
      </c>
      <c r="DE60" s="1" t="str">
        <f>IFERROR(VLOOKUP(DD60,スクリプト_フロー!$A:$F,5,FALSE),"")</f>
        <v/>
      </c>
      <c r="DF60" s="1" t="str">
        <f t="shared" si="17"/>
        <v>|</v>
      </c>
      <c r="DG60" s="1" t="str">
        <f>IFERROR(VLOOKUP(DF60,スクリプト_フロー!$A:$F,5,FALSE),"")</f>
        <v/>
      </c>
    </row>
    <row r="61" spans="1:111" ht="21">
      <c r="A61" s="1">
        <v>60</v>
      </c>
      <c r="B61" s="1" t="s">
        <v>208</v>
      </c>
      <c r="C61" s="1" t="s">
        <v>209</v>
      </c>
      <c r="D61" s="1" t="s">
        <v>210</v>
      </c>
      <c r="E61" s="6"/>
      <c r="F61" s="6"/>
      <c r="G61" s="6" t="s">
        <v>34</v>
      </c>
      <c r="H61" s="6"/>
      <c r="I61" s="4" t="str">
        <f>SUBSTITUTE(SUBSTITUTE(SUBSTITUTE(SUBSTITUTE(SUBSTITUTE(SUBSTITUTE(SUBSTITUTE(SUBSTITUTE(SUBSTITUTE(SUBSTITUTE(SUBSTITUTE(Q61,"{会社}",設定!$B$3),"{自分}",設定!$B$4),"{サービス}",設定!$B$5),"{料金}",設定!$B$7),"{日付1}",設定!$B$8),"{日付2}",設定!$B$9),"{時間1}",設定!$B$10),"{時間2}",設定!$B$11),"{時間}","（指定時間）"),"{日付確定}","（確定日）"),"{時間確定}","（確定時間）")</f>
        <v/>
      </c>
      <c r="J61" s="1" t="str">
        <f>IFERROR(VLOOKUP(P61,スクリプト_フロー!$A:$F,4,FALSE),"")</f>
        <v/>
      </c>
      <c r="K61" s="6" t="s">
        <v>35</v>
      </c>
      <c r="L61" s="6"/>
      <c r="M61" s="6"/>
      <c r="N61" s="6"/>
      <c r="O61" s="1"/>
      <c r="P61" s="1" t="str">
        <f t="shared" si="9"/>
        <v>①架電|</v>
      </c>
      <c r="Q61" s="1" t="str">
        <f>IFERROR(VLOOKUP(P61,スクリプト_フロー!$A:$F,5,FALSE),"")</f>
        <v/>
      </c>
      <c r="R61" s="6" t="str">
        <f t="shared" si="10"/>
        <v/>
      </c>
      <c r="S61" s="6"/>
      <c r="T61" s="4" t="str">
        <f>IF(DA61="","",SUBSTITUTE(SUBSTITUTE(SUBSTITUTE(SUBSTITUTE(SUBSTITUTE(SUBSTITUTE(SUBSTITUTE(SUBSTITUTE(SUBSTITUTE(SUBSTITUTE(SUBSTITUTE(DA61,"{会社}",設定!$B$3),"{自分}",設定!$B$4),"{サービス}",設定!$B$5),"{料金}",設定!$B$7),"{日付1}",設定!$B$8),"{日付2}",設定!$B$9),"{時間1}",設定!$B$10),"{時間2}",設定!$B$11),"{時間}","（指定時間）"),"{日付確定}","（確定日）"),"{時間確定}","（確定時間）"))</f>
        <v/>
      </c>
      <c r="U61" s="1" t="str">
        <f>IFERROR(VLOOKUP(CZ61,スクリプト_フロー!$A:$F,4,FALSE),"")</f>
        <v/>
      </c>
      <c r="V61" s="6" t="str">
        <f t="shared" si="11"/>
        <v/>
      </c>
      <c r="W61" s="6"/>
      <c r="X61" s="4" t="str">
        <f>IF(DC61="","",SUBSTITUTE(SUBSTITUTE(SUBSTITUTE(SUBSTITUTE(SUBSTITUTE(SUBSTITUTE(SUBSTITUTE(SUBSTITUTE(SUBSTITUTE(SUBSTITUTE(SUBSTITUTE(DC61,"{会社}",設定!$B$3),"{自分}",設定!$B$4),"{サービス}",設定!$B$5),"{料金}",設定!$B$7),"{日付1}",設定!$B$8),"{日付2}",設定!$B$9),"{時間1}",設定!$B$10),"{時間2}",設定!$B$11),"{時間}","（指定時間）"),"{日付確定}","（確定日）"),"{時間確定}","（確定時間）"))</f>
        <v/>
      </c>
      <c r="Y61" s="1" t="str">
        <f>IFERROR(VLOOKUP(DB61,スクリプト_フロー!$A:$F,4,FALSE),"")</f>
        <v/>
      </c>
      <c r="Z61" s="6" t="str">
        <f t="shared" si="12"/>
        <v/>
      </c>
      <c r="AA61" s="6"/>
      <c r="AB61" s="4" t="str">
        <f>IF(DE61="","",SUBSTITUTE(SUBSTITUTE(SUBSTITUTE(SUBSTITUTE(SUBSTITUTE(SUBSTITUTE(SUBSTITUTE(SUBSTITUTE(SUBSTITUTE(SUBSTITUTE(SUBSTITUTE(DE61,"{会社}",設定!$B$3),"{自分}",設定!$B$4),"{サービス}",設定!$B$5),"{料金}",設定!$B$7),"{日付1}",設定!$B$8),"{日付2}",設定!$B$9),"{時間1}",設定!$B$10),"{時間2}",設定!$B$11),"{時間}","（指定時間）"),"{日付確定}","（確定日）"),"{時間確定}","（確定時間）"))</f>
        <v/>
      </c>
      <c r="AC61" s="1" t="str">
        <f>IFERROR(VLOOKUP(DD61,スクリプト_フロー!$A:$F,4,FALSE),"")</f>
        <v/>
      </c>
      <c r="AD61" s="6" t="str">
        <f t="shared" si="13"/>
        <v/>
      </c>
      <c r="AE61" s="6"/>
      <c r="AF61" s="4" t="str">
        <f>IF(DG61="","",SUBSTITUTE(SUBSTITUTE(SUBSTITUTE(SUBSTITUTE(SUBSTITUTE(SUBSTITUTE(SUBSTITUTE(SUBSTITUTE(SUBSTITUTE(SUBSTITUTE(SUBSTITUTE(DG61,"{会社}",設定!$B$3),"{自分}",設定!$B$4),"{サービス}",設定!$B$5),"{料金}",設定!$B$7),"{日付1}",設定!$B$8),"{日付2}",設定!$B$9),"{時間1}",設定!$B$10),"{時間2}",設定!$B$11),"{時間}","（指定時間）"),"{日付確定}","（確定日）"),"{時間確定}","（確定時間）"))</f>
        <v/>
      </c>
      <c r="AG61" s="1" t="str">
        <f>IFERROR(VLOOKUP(DF61,スクリプト_フロー!$A:$F,4,FALSE),"")</f>
        <v/>
      </c>
      <c r="CZ61" s="1" t="str">
        <f t="shared" si="14"/>
        <v>|</v>
      </c>
      <c r="DA61" s="1" t="str">
        <f>IFERROR(VLOOKUP(CZ61,スクリプト_フロー!$A:$F,5,FALSE),"")</f>
        <v/>
      </c>
      <c r="DB61" s="1" t="str">
        <f t="shared" si="15"/>
        <v>|</v>
      </c>
      <c r="DC61" s="1" t="str">
        <f>IFERROR(VLOOKUP(DB61,スクリプト_フロー!$A:$F,5,FALSE),"")</f>
        <v/>
      </c>
      <c r="DD61" s="1" t="str">
        <f t="shared" si="16"/>
        <v>|</v>
      </c>
      <c r="DE61" s="1" t="str">
        <f>IFERROR(VLOOKUP(DD61,スクリプト_フロー!$A:$F,5,FALSE),"")</f>
        <v/>
      </c>
      <c r="DF61" s="1" t="str">
        <f t="shared" si="17"/>
        <v>|</v>
      </c>
      <c r="DG61" s="1" t="str">
        <f>IFERROR(VLOOKUP(DF61,スクリプト_フロー!$A:$F,5,FALSE),"")</f>
        <v/>
      </c>
    </row>
    <row r="62" spans="1:111" ht="21">
      <c r="A62" s="1">
        <v>61</v>
      </c>
      <c r="B62" s="1" t="s">
        <v>211</v>
      </c>
      <c r="C62" s="1" t="s">
        <v>212</v>
      </c>
      <c r="D62" s="1" t="s">
        <v>213</v>
      </c>
      <c r="E62" s="6"/>
      <c r="F62" s="6"/>
      <c r="G62" s="6" t="s">
        <v>34</v>
      </c>
      <c r="H62" s="6"/>
      <c r="I62" s="4" t="str">
        <f>SUBSTITUTE(SUBSTITUTE(SUBSTITUTE(SUBSTITUTE(SUBSTITUTE(SUBSTITUTE(SUBSTITUTE(SUBSTITUTE(SUBSTITUTE(SUBSTITUTE(SUBSTITUTE(Q62,"{会社}",設定!$B$3),"{自分}",設定!$B$4),"{サービス}",設定!$B$5),"{料金}",設定!$B$7),"{日付1}",設定!$B$8),"{日付2}",設定!$B$9),"{時間1}",設定!$B$10),"{時間2}",設定!$B$11),"{時間}","（指定時間）"),"{日付確定}","（確定日）"),"{時間確定}","（確定時間）")</f>
        <v/>
      </c>
      <c r="J62" s="1" t="str">
        <f>IFERROR(VLOOKUP(P62,スクリプト_フロー!$A:$F,4,FALSE),"")</f>
        <v/>
      </c>
      <c r="K62" s="6" t="s">
        <v>35</v>
      </c>
      <c r="L62" s="6"/>
      <c r="M62" s="6"/>
      <c r="N62" s="6"/>
      <c r="O62" s="1"/>
      <c r="P62" s="1" t="str">
        <f t="shared" si="9"/>
        <v>①架電|</v>
      </c>
      <c r="Q62" s="1" t="str">
        <f>IFERROR(VLOOKUP(P62,スクリプト_フロー!$A:$F,5,FALSE),"")</f>
        <v/>
      </c>
      <c r="R62" s="6" t="str">
        <f t="shared" si="10"/>
        <v/>
      </c>
      <c r="S62" s="6"/>
      <c r="T62" s="4" t="str">
        <f>IF(DA62="","",SUBSTITUTE(SUBSTITUTE(SUBSTITUTE(SUBSTITUTE(SUBSTITUTE(SUBSTITUTE(SUBSTITUTE(SUBSTITUTE(SUBSTITUTE(SUBSTITUTE(SUBSTITUTE(DA62,"{会社}",設定!$B$3),"{自分}",設定!$B$4),"{サービス}",設定!$B$5),"{料金}",設定!$B$7),"{日付1}",設定!$B$8),"{日付2}",設定!$B$9),"{時間1}",設定!$B$10),"{時間2}",設定!$B$11),"{時間}","（指定時間）"),"{日付確定}","（確定日）"),"{時間確定}","（確定時間）"))</f>
        <v/>
      </c>
      <c r="U62" s="1" t="str">
        <f>IFERROR(VLOOKUP(CZ62,スクリプト_フロー!$A:$F,4,FALSE),"")</f>
        <v/>
      </c>
      <c r="V62" s="6" t="str">
        <f t="shared" si="11"/>
        <v/>
      </c>
      <c r="W62" s="6"/>
      <c r="X62" s="4" t="str">
        <f>IF(DC62="","",SUBSTITUTE(SUBSTITUTE(SUBSTITUTE(SUBSTITUTE(SUBSTITUTE(SUBSTITUTE(SUBSTITUTE(SUBSTITUTE(SUBSTITUTE(SUBSTITUTE(SUBSTITUTE(DC62,"{会社}",設定!$B$3),"{自分}",設定!$B$4),"{サービス}",設定!$B$5),"{料金}",設定!$B$7),"{日付1}",設定!$B$8),"{日付2}",設定!$B$9),"{時間1}",設定!$B$10),"{時間2}",設定!$B$11),"{時間}","（指定時間）"),"{日付確定}","（確定日）"),"{時間確定}","（確定時間）"))</f>
        <v/>
      </c>
      <c r="Y62" s="1" t="str">
        <f>IFERROR(VLOOKUP(DB62,スクリプト_フロー!$A:$F,4,FALSE),"")</f>
        <v/>
      </c>
      <c r="Z62" s="6" t="str">
        <f t="shared" si="12"/>
        <v/>
      </c>
      <c r="AA62" s="6"/>
      <c r="AB62" s="4" t="str">
        <f>IF(DE62="","",SUBSTITUTE(SUBSTITUTE(SUBSTITUTE(SUBSTITUTE(SUBSTITUTE(SUBSTITUTE(SUBSTITUTE(SUBSTITUTE(SUBSTITUTE(SUBSTITUTE(SUBSTITUTE(DE62,"{会社}",設定!$B$3),"{自分}",設定!$B$4),"{サービス}",設定!$B$5),"{料金}",設定!$B$7),"{日付1}",設定!$B$8),"{日付2}",設定!$B$9),"{時間1}",設定!$B$10),"{時間2}",設定!$B$11),"{時間}","（指定時間）"),"{日付確定}","（確定日）"),"{時間確定}","（確定時間）"))</f>
        <v/>
      </c>
      <c r="AC62" s="1" t="str">
        <f>IFERROR(VLOOKUP(DD62,スクリプト_フロー!$A:$F,4,FALSE),"")</f>
        <v/>
      </c>
      <c r="AD62" s="6" t="str">
        <f t="shared" si="13"/>
        <v/>
      </c>
      <c r="AE62" s="6"/>
      <c r="AF62" s="4" t="str">
        <f>IF(DG62="","",SUBSTITUTE(SUBSTITUTE(SUBSTITUTE(SUBSTITUTE(SUBSTITUTE(SUBSTITUTE(SUBSTITUTE(SUBSTITUTE(SUBSTITUTE(SUBSTITUTE(SUBSTITUTE(DG62,"{会社}",設定!$B$3),"{自分}",設定!$B$4),"{サービス}",設定!$B$5),"{料金}",設定!$B$7),"{日付1}",設定!$B$8),"{日付2}",設定!$B$9),"{時間1}",設定!$B$10),"{時間2}",設定!$B$11),"{時間}","（指定時間）"),"{日付確定}","（確定日）"),"{時間確定}","（確定時間）"))</f>
        <v/>
      </c>
      <c r="AG62" s="1" t="str">
        <f>IFERROR(VLOOKUP(DF62,スクリプト_フロー!$A:$F,4,FALSE),"")</f>
        <v/>
      </c>
      <c r="CZ62" s="1" t="str">
        <f t="shared" si="14"/>
        <v>|</v>
      </c>
      <c r="DA62" s="1" t="str">
        <f>IFERROR(VLOOKUP(CZ62,スクリプト_フロー!$A:$F,5,FALSE),"")</f>
        <v/>
      </c>
      <c r="DB62" s="1" t="str">
        <f t="shared" si="15"/>
        <v>|</v>
      </c>
      <c r="DC62" s="1" t="str">
        <f>IFERROR(VLOOKUP(DB62,スクリプト_フロー!$A:$F,5,FALSE),"")</f>
        <v/>
      </c>
      <c r="DD62" s="1" t="str">
        <f t="shared" si="16"/>
        <v>|</v>
      </c>
      <c r="DE62" s="1" t="str">
        <f>IFERROR(VLOOKUP(DD62,スクリプト_フロー!$A:$F,5,FALSE),"")</f>
        <v/>
      </c>
      <c r="DF62" s="1" t="str">
        <f t="shared" si="17"/>
        <v>|</v>
      </c>
      <c r="DG62" s="1" t="str">
        <f>IFERROR(VLOOKUP(DF62,スクリプト_フロー!$A:$F,5,FALSE),"")</f>
        <v/>
      </c>
    </row>
    <row r="63" spans="1:111" ht="21">
      <c r="A63" s="1">
        <v>62</v>
      </c>
      <c r="B63" s="1" t="s">
        <v>214</v>
      </c>
      <c r="C63" s="1" t="s">
        <v>215</v>
      </c>
      <c r="D63" s="1" t="s">
        <v>33</v>
      </c>
      <c r="E63" s="6"/>
      <c r="F63" s="6"/>
      <c r="G63" s="6" t="s">
        <v>34</v>
      </c>
      <c r="H63" s="6"/>
      <c r="I63" s="4" t="str">
        <f>SUBSTITUTE(SUBSTITUTE(SUBSTITUTE(SUBSTITUTE(SUBSTITUTE(SUBSTITUTE(SUBSTITUTE(SUBSTITUTE(SUBSTITUTE(SUBSTITUTE(SUBSTITUTE(Q63,"{会社}",設定!$B$3),"{自分}",設定!$B$4),"{サービス}",設定!$B$5),"{料金}",設定!$B$7),"{日付1}",設定!$B$8),"{日付2}",設定!$B$9),"{時間1}",設定!$B$10),"{時間2}",設定!$B$11),"{時間}","（指定時間）"),"{日付確定}","（確定日）"),"{時間確定}","（確定時間）")</f>
        <v/>
      </c>
      <c r="J63" s="1" t="str">
        <f>IFERROR(VLOOKUP(P63,スクリプト_フロー!$A:$F,4,FALSE),"")</f>
        <v/>
      </c>
      <c r="K63" s="6" t="s">
        <v>35</v>
      </c>
      <c r="L63" s="6"/>
      <c r="M63" s="6"/>
      <c r="N63" s="6"/>
      <c r="O63" s="1"/>
      <c r="P63" s="1" t="str">
        <f t="shared" si="9"/>
        <v>①架電|</v>
      </c>
      <c r="Q63" s="1" t="str">
        <f>IFERROR(VLOOKUP(P63,スクリプト_フロー!$A:$F,5,FALSE),"")</f>
        <v/>
      </c>
      <c r="R63" s="6" t="str">
        <f t="shared" si="10"/>
        <v/>
      </c>
      <c r="S63" s="6"/>
      <c r="T63" s="4" t="str">
        <f>IF(DA63="","",SUBSTITUTE(SUBSTITUTE(SUBSTITUTE(SUBSTITUTE(SUBSTITUTE(SUBSTITUTE(SUBSTITUTE(SUBSTITUTE(SUBSTITUTE(SUBSTITUTE(SUBSTITUTE(DA63,"{会社}",設定!$B$3),"{自分}",設定!$B$4),"{サービス}",設定!$B$5),"{料金}",設定!$B$7),"{日付1}",設定!$B$8),"{日付2}",設定!$B$9),"{時間1}",設定!$B$10),"{時間2}",設定!$B$11),"{時間}","（指定時間）"),"{日付確定}","（確定日）"),"{時間確定}","（確定時間）"))</f>
        <v/>
      </c>
      <c r="U63" s="1" t="str">
        <f>IFERROR(VLOOKUP(CZ63,スクリプト_フロー!$A:$F,4,FALSE),"")</f>
        <v/>
      </c>
      <c r="V63" s="6" t="str">
        <f t="shared" si="11"/>
        <v/>
      </c>
      <c r="W63" s="6"/>
      <c r="X63" s="4" t="str">
        <f>IF(DC63="","",SUBSTITUTE(SUBSTITUTE(SUBSTITUTE(SUBSTITUTE(SUBSTITUTE(SUBSTITUTE(SUBSTITUTE(SUBSTITUTE(SUBSTITUTE(SUBSTITUTE(SUBSTITUTE(DC63,"{会社}",設定!$B$3),"{自分}",設定!$B$4),"{サービス}",設定!$B$5),"{料金}",設定!$B$7),"{日付1}",設定!$B$8),"{日付2}",設定!$B$9),"{時間1}",設定!$B$10),"{時間2}",設定!$B$11),"{時間}","（指定時間）"),"{日付確定}","（確定日）"),"{時間確定}","（確定時間）"))</f>
        <v/>
      </c>
      <c r="Y63" s="1" t="str">
        <f>IFERROR(VLOOKUP(DB63,スクリプト_フロー!$A:$F,4,FALSE),"")</f>
        <v/>
      </c>
      <c r="Z63" s="6" t="str">
        <f t="shared" si="12"/>
        <v/>
      </c>
      <c r="AA63" s="6"/>
      <c r="AB63" s="4" t="str">
        <f>IF(DE63="","",SUBSTITUTE(SUBSTITUTE(SUBSTITUTE(SUBSTITUTE(SUBSTITUTE(SUBSTITUTE(SUBSTITUTE(SUBSTITUTE(SUBSTITUTE(SUBSTITUTE(SUBSTITUTE(DE63,"{会社}",設定!$B$3),"{自分}",設定!$B$4),"{サービス}",設定!$B$5),"{料金}",設定!$B$7),"{日付1}",設定!$B$8),"{日付2}",設定!$B$9),"{時間1}",設定!$B$10),"{時間2}",設定!$B$11),"{時間}","（指定時間）"),"{日付確定}","（確定日）"),"{時間確定}","（確定時間）"))</f>
        <v/>
      </c>
      <c r="AC63" s="1" t="str">
        <f>IFERROR(VLOOKUP(DD63,スクリプト_フロー!$A:$F,4,FALSE),"")</f>
        <v/>
      </c>
      <c r="AD63" s="6" t="str">
        <f t="shared" si="13"/>
        <v/>
      </c>
      <c r="AE63" s="6"/>
      <c r="AF63" s="4" t="str">
        <f>IF(DG63="","",SUBSTITUTE(SUBSTITUTE(SUBSTITUTE(SUBSTITUTE(SUBSTITUTE(SUBSTITUTE(SUBSTITUTE(SUBSTITUTE(SUBSTITUTE(SUBSTITUTE(SUBSTITUTE(DG63,"{会社}",設定!$B$3),"{自分}",設定!$B$4),"{サービス}",設定!$B$5),"{料金}",設定!$B$7),"{日付1}",設定!$B$8),"{日付2}",設定!$B$9),"{時間1}",設定!$B$10),"{時間2}",設定!$B$11),"{時間}","（指定時間）"),"{日付確定}","（確定日）"),"{時間確定}","（確定時間）"))</f>
        <v/>
      </c>
      <c r="AG63" s="1" t="str">
        <f>IFERROR(VLOOKUP(DF63,スクリプト_フロー!$A:$F,4,FALSE),"")</f>
        <v/>
      </c>
      <c r="CZ63" s="1" t="str">
        <f t="shared" si="14"/>
        <v>|</v>
      </c>
      <c r="DA63" s="1" t="str">
        <f>IFERROR(VLOOKUP(CZ63,スクリプト_フロー!$A:$F,5,FALSE),"")</f>
        <v/>
      </c>
      <c r="DB63" s="1" t="str">
        <f t="shared" si="15"/>
        <v>|</v>
      </c>
      <c r="DC63" s="1" t="str">
        <f>IFERROR(VLOOKUP(DB63,スクリプト_フロー!$A:$F,5,FALSE),"")</f>
        <v/>
      </c>
      <c r="DD63" s="1" t="str">
        <f t="shared" si="16"/>
        <v>|</v>
      </c>
      <c r="DE63" s="1" t="str">
        <f>IFERROR(VLOOKUP(DD63,スクリプト_フロー!$A:$F,5,FALSE),"")</f>
        <v/>
      </c>
      <c r="DF63" s="1" t="str">
        <f t="shared" si="17"/>
        <v>|</v>
      </c>
      <c r="DG63" s="1" t="str">
        <f>IFERROR(VLOOKUP(DF63,スクリプト_フロー!$A:$F,5,FALSE),"")</f>
        <v/>
      </c>
    </row>
    <row r="64" spans="1:111" ht="21">
      <c r="A64" s="1">
        <v>63</v>
      </c>
      <c r="B64" s="1" t="s">
        <v>216</v>
      </c>
      <c r="C64" s="1" t="s">
        <v>93</v>
      </c>
      <c r="D64" s="1" t="s">
        <v>94</v>
      </c>
      <c r="E64" s="6"/>
      <c r="F64" s="6"/>
      <c r="G64" s="6" t="s">
        <v>34</v>
      </c>
      <c r="H64" s="6"/>
      <c r="I64" s="4" t="str">
        <f>SUBSTITUTE(SUBSTITUTE(SUBSTITUTE(SUBSTITUTE(SUBSTITUTE(SUBSTITUTE(SUBSTITUTE(SUBSTITUTE(SUBSTITUTE(SUBSTITUTE(SUBSTITUTE(Q64,"{会社}",設定!$B$3),"{自分}",設定!$B$4),"{サービス}",設定!$B$5),"{料金}",設定!$B$7),"{日付1}",設定!$B$8),"{日付2}",設定!$B$9),"{時間1}",設定!$B$10),"{時間2}",設定!$B$11),"{時間}","（指定時間）"),"{日付確定}","（確定日）"),"{時間確定}","（確定時間）")</f>
        <v/>
      </c>
      <c r="J64" s="1" t="str">
        <f>IFERROR(VLOOKUP(P64,スクリプト_フロー!$A:$F,4,FALSE),"")</f>
        <v/>
      </c>
      <c r="K64" s="6" t="s">
        <v>35</v>
      </c>
      <c r="L64" s="6"/>
      <c r="M64" s="6"/>
      <c r="N64" s="6"/>
      <c r="O64" s="1"/>
      <c r="P64" s="1" t="str">
        <f t="shared" si="9"/>
        <v>①架電|</v>
      </c>
      <c r="Q64" s="1" t="str">
        <f>IFERROR(VLOOKUP(P64,スクリプト_フロー!$A:$F,5,FALSE),"")</f>
        <v/>
      </c>
      <c r="R64" s="6" t="str">
        <f t="shared" si="10"/>
        <v/>
      </c>
      <c r="S64" s="6"/>
      <c r="T64" s="4" t="str">
        <f>IF(DA64="","",SUBSTITUTE(SUBSTITUTE(SUBSTITUTE(SUBSTITUTE(SUBSTITUTE(SUBSTITUTE(SUBSTITUTE(SUBSTITUTE(SUBSTITUTE(SUBSTITUTE(SUBSTITUTE(DA64,"{会社}",設定!$B$3),"{自分}",設定!$B$4),"{サービス}",設定!$B$5),"{料金}",設定!$B$7),"{日付1}",設定!$B$8),"{日付2}",設定!$B$9),"{時間1}",設定!$B$10),"{時間2}",設定!$B$11),"{時間}","（指定時間）"),"{日付確定}","（確定日）"),"{時間確定}","（確定時間）"))</f>
        <v/>
      </c>
      <c r="U64" s="1" t="str">
        <f>IFERROR(VLOOKUP(CZ64,スクリプト_フロー!$A:$F,4,FALSE),"")</f>
        <v/>
      </c>
      <c r="V64" s="6" t="str">
        <f t="shared" si="11"/>
        <v/>
      </c>
      <c r="W64" s="6"/>
      <c r="X64" s="4" t="str">
        <f>IF(DC64="","",SUBSTITUTE(SUBSTITUTE(SUBSTITUTE(SUBSTITUTE(SUBSTITUTE(SUBSTITUTE(SUBSTITUTE(SUBSTITUTE(SUBSTITUTE(SUBSTITUTE(SUBSTITUTE(DC64,"{会社}",設定!$B$3),"{自分}",設定!$B$4),"{サービス}",設定!$B$5),"{料金}",設定!$B$7),"{日付1}",設定!$B$8),"{日付2}",設定!$B$9),"{時間1}",設定!$B$10),"{時間2}",設定!$B$11),"{時間}","（指定時間）"),"{日付確定}","（確定日）"),"{時間確定}","（確定時間）"))</f>
        <v/>
      </c>
      <c r="Y64" s="1" t="str">
        <f>IFERROR(VLOOKUP(DB64,スクリプト_フロー!$A:$F,4,FALSE),"")</f>
        <v/>
      </c>
      <c r="Z64" s="6" t="str">
        <f t="shared" si="12"/>
        <v/>
      </c>
      <c r="AA64" s="6"/>
      <c r="AB64" s="4" t="str">
        <f>IF(DE64="","",SUBSTITUTE(SUBSTITUTE(SUBSTITUTE(SUBSTITUTE(SUBSTITUTE(SUBSTITUTE(SUBSTITUTE(SUBSTITUTE(SUBSTITUTE(SUBSTITUTE(SUBSTITUTE(DE64,"{会社}",設定!$B$3),"{自分}",設定!$B$4),"{サービス}",設定!$B$5),"{料金}",設定!$B$7),"{日付1}",設定!$B$8),"{日付2}",設定!$B$9),"{時間1}",設定!$B$10),"{時間2}",設定!$B$11),"{時間}","（指定時間）"),"{日付確定}","（確定日）"),"{時間確定}","（確定時間）"))</f>
        <v/>
      </c>
      <c r="AC64" s="1" t="str">
        <f>IFERROR(VLOOKUP(DD64,スクリプト_フロー!$A:$F,4,FALSE),"")</f>
        <v/>
      </c>
      <c r="AD64" s="6" t="str">
        <f t="shared" si="13"/>
        <v/>
      </c>
      <c r="AE64" s="6"/>
      <c r="AF64" s="4" t="str">
        <f>IF(DG64="","",SUBSTITUTE(SUBSTITUTE(SUBSTITUTE(SUBSTITUTE(SUBSTITUTE(SUBSTITUTE(SUBSTITUTE(SUBSTITUTE(SUBSTITUTE(SUBSTITUTE(SUBSTITUTE(DG64,"{会社}",設定!$B$3),"{自分}",設定!$B$4),"{サービス}",設定!$B$5),"{料金}",設定!$B$7),"{日付1}",設定!$B$8),"{日付2}",設定!$B$9),"{時間1}",設定!$B$10),"{時間2}",設定!$B$11),"{時間}","（指定時間）"),"{日付確定}","（確定日）"),"{時間確定}","（確定時間）"))</f>
        <v/>
      </c>
      <c r="AG64" s="1" t="str">
        <f>IFERROR(VLOOKUP(DF64,スクリプト_フロー!$A:$F,4,FALSE),"")</f>
        <v/>
      </c>
      <c r="CZ64" s="1" t="str">
        <f t="shared" si="14"/>
        <v>|</v>
      </c>
      <c r="DA64" s="1" t="str">
        <f>IFERROR(VLOOKUP(CZ64,スクリプト_フロー!$A:$F,5,FALSE),"")</f>
        <v/>
      </c>
      <c r="DB64" s="1" t="str">
        <f t="shared" si="15"/>
        <v>|</v>
      </c>
      <c r="DC64" s="1" t="str">
        <f>IFERROR(VLOOKUP(DB64,スクリプト_フロー!$A:$F,5,FALSE),"")</f>
        <v/>
      </c>
      <c r="DD64" s="1" t="str">
        <f t="shared" si="16"/>
        <v>|</v>
      </c>
      <c r="DE64" s="1" t="str">
        <f>IFERROR(VLOOKUP(DD64,スクリプト_フロー!$A:$F,5,FALSE),"")</f>
        <v/>
      </c>
      <c r="DF64" s="1" t="str">
        <f t="shared" si="17"/>
        <v>|</v>
      </c>
      <c r="DG64" s="1" t="str">
        <f>IFERROR(VLOOKUP(DF64,スクリプト_フロー!$A:$F,5,FALSE),"")</f>
        <v/>
      </c>
    </row>
    <row r="65" spans="1:111" ht="21">
      <c r="A65" s="1">
        <v>64</v>
      </c>
      <c r="B65" s="1" t="s">
        <v>217</v>
      </c>
      <c r="C65" s="1" t="s">
        <v>98</v>
      </c>
      <c r="D65" s="1" t="s">
        <v>94</v>
      </c>
      <c r="E65" s="6"/>
      <c r="F65" s="6"/>
      <c r="G65" s="6" t="s">
        <v>34</v>
      </c>
      <c r="H65" s="6"/>
      <c r="I65" s="4" t="str">
        <f>SUBSTITUTE(SUBSTITUTE(SUBSTITUTE(SUBSTITUTE(SUBSTITUTE(SUBSTITUTE(SUBSTITUTE(SUBSTITUTE(SUBSTITUTE(SUBSTITUTE(SUBSTITUTE(Q65,"{会社}",設定!$B$3),"{自分}",設定!$B$4),"{サービス}",設定!$B$5),"{料金}",設定!$B$7),"{日付1}",設定!$B$8),"{日付2}",設定!$B$9),"{時間1}",設定!$B$10),"{時間2}",設定!$B$11),"{時間}","（指定時間）"),"{日付確定}","（確定日）"),"{時間確定}","（確定時間）")</f>
        <v/>
      </c>
      <c r="J65" s="1" t="str">
        <f>IFERROR(VLOOKUP(P65,スクリプト_フロー!$A:$F,4,FALSE),"")</f>
        <v/>
      </c>
      <c r="K65" s="6" t="s">
        <v>35</v>
      </c>
      <c r="L65" s="6"/>
      <c r="M65" s="6"/>
      <c r="N65" s="6"/>
      <c r="O65" s="1"/>
      <c r="P65" s="1" t="str">
        <f t="shared" si="9"/>
        <v>①架電|</v>
      </c>
      <c r="Q65" s="1" t="str">
        <f>IFERROR(VLOOKUP(P65,スクリプト_フロー!$A:$F,5,FALSE),"")</f>
        <v/>
      </c>
      <c r="R65" s="6" t="str">
        <f t="shared" si="10"/>
        <v/>
      </c>
      <c r="S65" s="6"/>
      <c r="T65" s="4" t="str">
        <f>IF(DA65="","",SUBSTITUTE(SUBSTITUTE(SUBSTITUTE(SUBSTITUTE(SUBSTITUTE(SUBSTITUTE(SUBSTITUTE(SUBSTITUTE(SUBSTITUTE(SUBSTITUTE(SUBSTITUTE(DA65,"{会社}",設定!$B$3),"{自分}",設定!$B$4),"{サービス}",設定!$B$5),"{料金}",設定!$B$7),"{日付1}",設定!$B$8),"{日付2}",設定!$B$9),"{時間1}",設定!$B$10),"{時間2}",設定!$B$11),"{時間}","（指定時間）"),"{日付確定}","（確定日）"),"{時間確定}","（確定時間）"))</f>
        <v/>
      </c>
      <c r="U65" s="1" t="str">
        <f>IFERROR(VLOOKUP(CZ65,スクリプト_フロー!$A:$F,4,FALSE),"")</f>
        <v/>
      </c>
      <c r="V65" s="6" t="str">
        <f t="shared" si="11"/>
        <v/>
      </c>
      <c r="W65" s="6"/>
      <c r="X65" s="4" t="str">
        <f>IF(DC65="","",SUBSTITUTE(SUBSTITUTE(SUBSTITUTE(SUBSTITUTE(SUBSTITUTE(SUBSTITUTE(SUBSTITUTE(SUBSTITUTE(SUBSTITUTE(SUBSTITUTE(SUBSTITUTE(DC65,"{会社}",設定!$B$3),"{自分}",設定!$B$4),"{サービス}",設定!$B$5),"{料金}",設定!$B$7),"{日付1}",設定!$B$8),"{日付2}",設定!$B$9),"{時間1}",設定!$B$10),"{時間2}",設定!$B$11),"{時間}","（指定時間）"),"{日付確定}","（確定日）"),"{時間確定}","（確定時間）"))</f>
        <v/>
      </c>
      <c r="Y65" s="1" t="str">
        <f>IFERROR(VLOOKUP(DB65,スクリプト_フロー!$A:$F,4,FALSE),"")</f>
        <v/>
      </c>
      <c r="Z65" s="6" t="str">
        <f t="shared" si="12"/>
        <v/>
      </c>
      <c r="AA65" s="6"/>
      <c r="AB65" s="4" t="str">
        <f>IF(DE65="","",SUBSTITUTE(SUBSTITUTE(SUBSTITUTE(SUBSTITUTE(SUBSTITUTE(SUBSTITUTE(SUBSTITUTE(SUBSTITUTE(SUBSTITUTE(SUBSTITUTE(SUBSTITUTE(DE65,"{会社}",設定!$B$3),"{自分}",設定!$B$4),"{サービス}",設定!$B$5),"{料金}",設定!$B$7),"{日付1}",設定!$B$8),"{日付2}",設定!$B$9),"{時間1}",設定!$B$10),"{時間2}",設定!$B$11),"{時間}","（指定時間）"),"{日付確定}","（確定日）"),"{時間確定}","（確定時間）"))</f>
        <v/>
      </c>
      <c r="AC65" s="1" t="str">
        <f>IFERROR(VLOOKUP(DD65,スクリプト_フロー!$A:$F,4,FALSE),"")</f>
        <v/>
      </c>
      <c r="AD65" s="6" t="str">
        <f t="shared" si="13"/>
        <v/>
      </c>
      <c r="AE65" s="6"/>
      <c r="AF65" s="4" t="str">
        <f>IF(DG65="","",SUBSTITUTE(SUBSTITUTE(SUBSTITUTE(SUBSTITUTE(SUBSTITUTE(SUBSTITUTE(SUBSTITUTE(SUBSTITUTE(SUBSTITUTE(SUBSTITUTE(SUBSTITUTE(DG65,"{会社}",設定!$B$3),"{自分}",設定!$B$4),"{サービス}",設定!$B$5),"{料金}",設定!$B$7),"{日付1}",設定!$B$8),"{日付2}",設定!$B$9),"{時間1}",設定!$B$10),"{時間2}",設定!$B$11),"{時間}","（指定時間）"),"{日付確定}","（確定日）"),"{時間確定}","（確定時間）"))</f>
        <v/>
      </c>
      <c r="AG65" s="1" t="str">
        <f>IFERROR(VLOOKUP(DF65,スクリプト_フロー!$A:$F,4,FALSE),"")</f>
        <v/>
      </c>
      <c r="CZ65" s="1" t="str">
        <f t="shared" si="14"/>
        <v>|</v>
      </c>
      <c r="DA65" s="1" t="str">
        <f>IFERROR(VLOOKUP(CZ65,スクリプト_フロー!$A:$F,5,FALSE),"")</f>
        <v/>
      </c>
      <c r="DB65" s="1" t="str">
        <f t="shared" si="15"/>
        <v>|</v>
      </c>
      <c r="DC65" s="1" t="str">
        <f>IFERROR(VLOOKUP(DB65,スクリプト_フロー!$A:$F,5,FALSE),"")</f>
        <v/>
      </c>
      <c r="DD65" s="1" t="str">
        <f t="shared" si="16"/>
        <v>|</v>
      </c>
      <c r="DE65" s="1" t="str">
        <f>IFERROR(VLOOKUP(DD65,スクリプト_フロー!$A:$F,5,FALSE),"")</f>
        <v/>
      </c>
      <c r="DF65" s="1" t="str">
        <f t="shared" si="17"/>
        <v>|</v>
      </c>
      <c r="DG65" s="1" t="str">
        <f>IFERROR(VLOOKUP(DF65,スクリプト_フロー!$A:$F,5,FALSE),"")</f>
        <v/>
      </c>
    </row>
    <row r="66" spans="1:111" ht="21">
      <c r="A66" s="1">
        <v>65</v>
      </c>
      <c r="B66" s="1" t="s">
        <v>218</v>
      </c>
      <c r="C66" s="1" t="s">
        <v>219</v>
      </c>
      <c r="D66" s="1" t="s">
        <v>33</v>
      </c>
      <c r="E66" s="6"/>
      <c r="F66" s="6"/>
      <c r="G66" s="6" t="s">
        <v>34</v>
      </c>
      <c r="H66" s="6"/>
      <c r="I66" s="4" t="str">
        <f>SUBSTITUTE(SUBSTITUTE(SUBSTITUTE(SUBSTITUTE(SUBSTITUTE(SUBSTITUTE(SUBSTITUTE(SUBSTITUTE(SUBSTITUTE(SUBSTITUTE(SUBSTITUTE(Q66,"{会社}",設定!$B$3),"{自分}",設定!$B$4),"{サービス}",設定!$B$5),"{料金}",設定!$B$7),"{日付1}",設定!$B$8),"{日付2}",設定!$B$9),"{時間1}",設定!$B$10),"{時間2}",設定!$B$11),"{時間}","（指定時間）"),"{日付確定}","（確定日）"),"{時間確定}","（確定時間）")</f>
        <v/>
      </c>
      <c r="J66" s="1" t="str">
        <f>IFERROR(VLOOKUP(P66,スクリプト_フロー!$A:$F,4,FALSE),"")</f>
        <v/>
      </c>
      <c r="K66" s="6" t="s">
        <v>35</v>
      </c>
      <c r="L66" s="6"/>
      <c r="M66" s="6"/>
      <c r="N66" s="6"/>
      <c r="O66" s="1"/>
      <c r="P66" s="1" t="str">
        <f t="shared" ref="P66:P97" si="18">G66&amp;"|"&amp;H66</f>
        <v>①架電|</v>
      </c>
      <c r="Q66" s="1" t="str">
        <f>IFERROR(VLOOKUP(P66,スクリプト_フロー!$A:$F,5,FALSE),"")</f>
        <v/>
      </c>
      <c r="R66" s="6" t="str">
        <f t="shared" ref="R66:R97" si="19">IF(J66="","",J66)</f>
        <v/>
      </c>
      <c r="S66" s="6"/>
      <c r="T66" s="4" t="str">
        <f>IF(DA66="","",SUBSTITUTE(SUBSTITUTE(SUBSTITUTE(SUBSTITUTE(SUBSTITUTE(SUBSTITUTE(SUBSTITUTE(SUBSTITUTE(SUBSTITUTE(SUBSTITUTE(SUBSTITUTE(DA66,"{会社}",設定!$B$3),"{自分}",設定!$B$4),"{サービス}",設定!$B$5),"{料金}",設定!$B$7),"{日付1}",設定!$B$8),"{日付2}",設定!$B$9),"{時間1}",設定!$B$10),"{時間2}",設定!$B$11),"{時間}","（指定時間）"),"{日付確定}","（確定日）"),"{時間確定}","（確定時間）"))</f>
        <v/>
      </c>
      <c r="U66" s="1" t="str">
        <f>IFERROR(VLOOKUP(CZ66,スクリプト_フロー!$A:$F,4,FALSE),"")</f>
        <v/>
      </c>
      <c r="V66" s="6" t="str">
        <f t="shared" ref="V66:V97" si="20">IF(U66="","",U66)</f>
        <v/>
      </c>
      <c r="W66" s="6"/>
      <c r="X66" s="4" t="str">
        <f>IF(DC66="","",SUBSTITUTE(SUBSTITUTE(SUBSTITUTE(SUBSTITUTE(SUBSTITUTE(SUBSTITUTE(SUBSTITUTE(SUBSTITUTE(SUBSTITUTE(SUBSTITUTE(SUBSTITUTE(DC66,"{会社}",設定!$B$3),"{自分}",設定!$B$4),"{サービス}",設定!$B$5),"{料金}",設定!$B$7),"{日付1}",設定!$B$8),"{日付2}",設定!$B$9),"{時間1}",設定!$B$10),"{時間2}",設定!$B$11),"{時間}","（指定時間）"),"{日付確定}","（確定日）"),"{時間確定}","（確定時間）"))</f>
        <v/>
      </c>
      <c r="Y66" s="1" t="str">
        <f>IFERROR(VLOOKUP(DB66,スクリプト_フロー!$A:$F,4,FALSE),"")</f>
        <v/>
      </c>
      <c r="Z66" s="6" t="str">
        <f t="shared" ref="Z66:Z97" si="21">IF(Y66="","",Y66)</f>
        <v/>
      </c>
      <c r="AA66" s="6"/>
      <c r="AB66" s="4" t="str">
        <f>IF(DE66="","",SUBSTITUTE(SUBSTITUTE(SUBSTITUTE(SUBSTITUTE(SUBSTITUTE(SUBSTITUTE(SUBSTITUTE(SUBSTITUTE(SUBSTITUTE(SUBSTITUTE(SUBSTITUTE(DE66,"{会社}",設定!$B$3),"{自分}",設定!$B$4),"{サービス}",設定!$B$5),"{料金}",設定!$B$7),"{日付1}",設定!$B$8),"{日付2}",設定!$B$9),"{時間1}",設定!$B$10),"{時間2}",設定!$B$11),"{時間}","（指定時間）"),"{日付確定}","（確定日）"),"{時間確定}","（確定時間）"))</f>
        <v/>
      </c>
      <c r="AC66" s="1" t="str">
        <f>IFERROR(VLOOKUP(DD66,スクリプト_フロー!$A:$F,4,FALSE),"")</f>
        <v/>
      </c>
      <c r="AD66" s="6" t="str">
        <f t="shared" ref="AD66:AD97" si="22">IF(AC66="","",AC66)</f>
        <v/>
      </c>
      <c r="AE66" s="6"/>
      <c r="AF66" s="4" t="str">
        <f>IF(DG66="","",SUBSTITUTE(SUBSTITUTE(SUBSTITUTE(SUBSTITUTE(SUBSTITUTE(SUBSTITUTE(SUBSTITUTE(SUBSTITUTE(SUBSTITUTE(SUBSTITUTE(SUBSTITUTE(DG66,"{会社}",設定!$B$3),"{自分}",設定!$B$4),"{サービス}",設定!$B$5),"{料金}",設定!$B$7),"{日付1}",設定!$B$8),"{日付2}",設定!$B$9),"{時間1}",設定!$B$10),"{時間2}",設定!$B$11),"{時間}","（指定時間）"),"{日付確定}","（確定日）"),"{時間確定}","（確定時間）"))</f>
        <v/>
      </c>
      <c r="AG66" s="1" t="str">
        <f>IFERROR(VLOOKUP(DF66,スクリプト_フロー!$A:$F,4,FALSE),"")</f>
        <v/>
      </c>
      <c r="CZ66" s="1" t="str">
        <f t="shared" ref="CZ66:CZ97" si="23">R66&amp;"|"&amp;S66</f>
        <v>|</v>
      </c>
      <c r="DA66" s="1" t="str">
        <f>IFERROR(VLOOKUP(CZ66,スクリプト_フロー!$A:$F,5,FALSE),"")</f>
        <v/>
      </c>
      <c r="DB66" s="1" t="str">
        <f t="shared" ref="DB66:DB97" si="24">V66&amp;"|"&amp;W66</f>
        <v>|</v>
      </c>
      <c r="DC66" s="1" t="str">
        <f>IFERROR(VLOOKUP(DB66,スクリプト_フロー!$A:$F,5,FALSE),"")</f>
        <v/>
      </c>
      <c r="DD66" s="1" t="str">
        <f t="shared" ref="DD66:DD97" si="25">Z66&amp;"|"&amp;AA66</f>
        <v>|</v>
      </c>
      <c r="DE66" s="1" t="str">
        <f>IFERROR(VLOOKUP(DD66,スクリプト_フロー!$A:$F,5,FALSE),"")</f>
        <v/>
      </c>
      <c r="DF66" s="1" t="str">
        <f t="shared" ref="DF66:DF97" si="26">AD66&amp;"|"&amp;AE66</f>
        <v>|</v>
      </c>
      <c r="DG66" s="1" t="str">
        <f>IFERROR(VLOOKUP(DF66,スクリプト_フロー!$A:$F,5,FALSE),"")</f>
        <v/>
      </c>
    </row>
    <row r="67" spans="1:111" ht="21">
      <c r="A67" s="1">
        <v>66</v>
      </c>
      <c r="B67" s="1" t="s">
        <v>220</v>
      </c>
      <c r="C67" s="1" t="s">
        <v>221</v>
      </c>
      <c r="D67" s="1" t="s">
        <v>222</v>
      </c>
      <c r="E67" s="6"/>
      <c r="F67" s="6"/>
      <c r="G67" s="6" t="s">
        <v>34</v>
      </c>
      <c r="H67" s="6"/>
      <c r="I67" s="4" t="str">
        <f>SUBSTITUTE(SUBSTITUTE(SUBSTITUTE(SUBSTITUTE(SUBSTITUTE(SUBSTITUTE(SUBSTITUTE(SUBSTITUTE(SUBSTITUTE(SUBSTITUTE(SUBSTITUTE(Q67,"{会社}",設定!$B$3),"{自分}",設定!$B$4),"{サービス}",設定!$B$5),"{料金}",設定!$B$7),"{日付1}",設定!$B$8),"{日付2}",設定!$B$9),"{時間1}",設定!$B$10),"{時間2}",設定!$B$11),"{時間}","（指定時間）"),"{日付確定}","（確定日）"),"{時間確定}","（確定時間）")</f>
        <v/>
      </c>
      <c r="J67" s="1" t="str">
        <f>IFERROR(VLOOKUP(P67,スクリプト_フロー!$A:$F,4,FALSE),"")</f>
        <v/>
      </c>
      <c r="K67" s="6" t="s">
        <v>35</v>
      </c>
      <c r="L67" s="6"/>
      <c r="M67" s="6"/>
      <c r="N67" s="6"/>
      <c r="O67" s="1"/>
      <c r="P67" s="1" t="str">
        <f t="shared" si="18"/>
        <v>①架電|</v>
      </c>
      <c r="Q67" s="1" t="str">
        <f>IFERROR(VLOOKUP(P67,スクリプト_フロー!$A:$F,5,FALSE),"")</f>
        <v/>
      </c>
      <c r="R67" s="6" t="str">
        <f t="shared" si="19"/>
        <v/>
      </c>
      <c r="S67" s="6"/>
      <c r="T67" s="4" t="str">
        <f>IF(DA67="","",SUBSTITUTE(SUBSTITUTE(SUBSTITUTE(SUBSTITUTE(SUBSTITUTE(SUBSTITUTE(SUBSTITUTE(SUBSTITUTE(SUBSTITUTE(SUBSTITUTE(SUBSTITUTE(DA67,"{会社}",設定!$B$3),"{自分}",設定!$B$4),"{サービス}",設定!$B$5),"{料金}",設定!$B$7),"{日付1}",設定!$B$8),"{日付2}",設定!$B$9),"{時間1}",設定!$B$10),"{時間2}",設定!$B$11),"{時間}","（指定時間）"),"{日付確定}","（確定日）"),"{時間確定}","（確定時間）"))</f>
        <v/>
      </c>
      <c r="U67" s="1" t="str">
        <f>IFERROR(VLOOKUP(CZ67,スクリプト_フロー!$A:$F,4,FALSE),"")</f>
        <v/>
      </c>
      <c r="V67" s="6" t="str">
        <f t="shared" si="20"/>
        <v/>
      </c>
      <c r="W67" s="6"/>
      <c r="X67" s="4" t="str">
        <f>IF(DC67="","",SUBSTITUTE(SUBSTITUTE(SUBSTITUTE(SUBSTITUTE(SUBSTITUTE(SUBSTITUTE(SUBSTITUTE(SUBSTITUTE(SUBSTITUTE(SUBSTITUTE(SUBSTITUTE(DC67,"{会社}",設定!$B$3),"{自分}",設定!$B$4),"{サービス}",設定!$B$5),"{料金}",設定!$B$7),"{日付1}",設定!$B$8),"{日付2}",設定!$B$9),"{時間1}",設定!$B$10),"{時間2}",設定!$B$11),"{時間}","（指定時間）"),"{日付確定}","（確定日）"),"{時間確定}","（確定時間）"))</f>
        <v/>
      </c>
      <c r="Y67" s="1" t="str">
        <f>IFERROR(VLOOKUP(DB67,スクリプト_フロー!$A:$F,4,FALSE),"")</f>
        <v/>
      </c>
      <c r="Z67" s="6" t="str">
        <f t="shared" si="21"/>
        <v/>
      </c>
      <c r="AA67" s="6"/>
      <c r="AB67" s="4" t="str">
        <f>IF(DE67="","",SUBSTITUTE(SUBSTITUTE(SUBSTITUTE(SUBSTITUTE(SUBSTITUTE(SUBSTITUTE(SUBSTITUTE(SUBSTITUTE(SUBSTITUTE(SUBSTITUTE(SUBSTITUTE(DE67,"{会社}",設定!$B$3),"{自分}",設定!$B$4),"{サービス}",設定!$B$5),"{料金}",設定!$B$7),"{日付1}",設定!$B$8),"{日付2}",設定!$B$9),"{時間1}",設定!$B$10),"{時間2}",設定!$B$11),"{時間}","（指定時間）"),"{日付確定}","（確定日）"),"{時間確定}","（確定時間）"))</f>
        <v/>
      </c>
      <c r="AC67" s="1" t="str">
        <f>IFERROR(VLOOKUP(DD67,スクリプト_フロー!$A:$F,4,FALSE),"")</f>
        <v/>
      </c>
      <c r="AD67" s="6" t="str">
        <f t="shared" si="22"/>
        <v/>
      </c>
      <c r="AE67" s="6"/>
      <c r="AF67" s="4" t="str">
        <f>IF(DG67="","",SUBSTITUTE(SUBSTITUTE(SUBSTITUTE(SUBSTITUTE(SUBSTITUTE(SUBSTITUTE(SUBSTITUTE(SUBSTITUTE(SUBSTITUTE(SUBSTITUTE(SUBSTITUTE(DG67,"{会社}",設定!$B$3),"{自分}",設定!$B$4),"{サービス}",設定!$B$5),"{料金}",設定!$B$7),"{日付1}",設定!$B$8),"{日付2}",設定!$B$9),"{時間1}",設定!$B$10),"{時間2}",設定!$B$11),"{時間}","（指定時間）"),"{日付確定}","（確定日）"),"{時間確定}","（確定時間）"))</f>
        <v/>
      </c>
      <c r="AG67" s="1" t="str">
        <f>IFERROR(VLOOKUP(DF67,スクリプト_フロー!$A:$F,4,FALSE),"")</f>
        <v/>
      </c>
      <c r="CZ67" s="1" t="str">
        <f t="shared" si="23"/>
        <v>|</v>
      </c>
      <c r="DA67" s="1" t="str">
        <f>IFERROR(VLOOKUP(CZ67,スクリプト_フロー!$A:$F,5,FALSE),"")</f>
        <v/>
      </c>
      <c r="DB67" s="1" t="str">
        <f t="shared" si="24"/>
        <v>|</v>
      </c>
      <c r="DC67" s="1" t="str">
        <f>IFERROR(VLOOKUP(DB67,スクリプト_フロー!$A:$F,5,FALSE),"")</f>
        <v/>
      </c>
      <c r="DD67" s="1" t="str">
        <f t="shared" si="25"/>
        <v>|</v>
      </c>
      <c r="DE67" s="1" t="str">
        <f>IFERROR(VLOOKUP(DD67,スクリプト_フロー!$A:$F,5,FALSE),"")</f>
        <v/>
      </c>
      <c r="DF67" s="1" t="str">
        <f t="shared" si="26"/>
        <v>|</v>
      </c>
      <c r="DG67" s="1" t="str">
        <f>IFERROR(VLOOKUP(DF67,スクリプト_フロー!$A:$F,5,FALSE),"")</f>
        <v/>
      </c>
    </row>
    <row r="68" spans="1:111" ht="21">
      <c r="A68" s="1">
        <v>67</v>
      </c>
      <c r="B68" s="1" t="s">
        <v>223</v>
      </c>
      <c r="C68" s="1" t="s">
        <v>224</v>
      </c>
      <c r="D68" s="1" t="s">
        <v>222</v>
      </c>
      <c r="E68" s="6"/>
      <c r="F68" s="6"/>
      <c r="G68" s="6" t="s">
        <v>34</v>
      </c>
      <c r="H68" s="6"/>
      <c r="I68" s="4" t="str">
        <f>SUBSTITUTE(SUBSTITUTE(SUBSTITUTE(SUBSTITUTE(SUBSTITUTE(SUBSTITUTE(SUBSTITUTE(SUBSTITUTE(SUBSTITUTE(SUBSTITUTE(SUBSTITUTE(Q68,"{会社}",設定!$B$3),"{自分}",設定!$B$4),"{サービス}",設定!$B$5),"{料金}",設定!$B$7),"{日付1}",設定!$B$8),"{日付2}",設定!$B$9),"{時間1}",設定!$B$10),"{時間2}",設定!$B$11),"{時間}","（指定時間）"),"{日付確定}","（確定日）"),"{時間確定}","（確定時間）")</f>
        <v/>
      </c>
      <c r="J68" s="1" t="str">
        <f>IFERROR(VLOOKUP(P68,スクリプト_フロー!$A:$F,4,FALSE),"")</f>
        <v/>
      </c>
      <c r="K68" s="6" t="s">
        <v>35</v>
      </c>
      <c r="L68" s="6"/>
      <c r="M68" s="6"/>
      <c r="N68" s="6"/>
      <c r="O68" s="1"/>
      <c r="P68" s="1" t="str">
        <f t="shared" si="18"/>
        <v>①架電|</v>
      </c>
      <c r="Q68" s="1" t="str">
        <f>IFERROR(VLOOKUP(P68,スクリプト_フロー!$A:$F,5,FALSE),"")</f>
        <v/>
      </c>
      <c r="R68" s="6" t="str">
        <f t="shared" si="19"/>
        <v/>
      </c>
      <c r="S68" s="6"/>
      <c r="T68" s="4" t="str">
        <f>IF(DA68="","",SUBSTITUTE(SUBSTITUTE(SUBSTITUTE(SUBSTITUTE(SUBSTITUTE(SUBSTITUTE(SUBSTITUTE(SUBSTITUTE(SUBSTITUTE(SUBSTITUTE(SUBSTITUTE(DA68,"{会社}",設定!$B$3),"{自分}",設定!$B$4),"{サービス}",設定!$B$5),"{料金}",設定!$B$7),"{日付1}",設定!$B$8),"{日付2}",設定!$B$9),"{時間1}",設定!$B$10),"{時間2}",設定!$B$11),"{時間}","（指定時間）"),"{日付確定}","（確定日）"),"{時間確定}","（確定時間）"))</f>
        <v/>
      </c>
      <c r="U68" s="1" t="str">
        <f>IFERROR(VLOOKUP(CZ68,スクリプト_フロー!$A:$F,4,FALSE),"")</f>
        <v/>
      </c>
      <c r="V68" s="6" t="str">
        <f t="shared" si="20"/>
        <v/>
      </c>
      <c r="W68" s="6"/>
      <c r="X68" s="4" t="str">
        <f>IF(DC68="","",SUBSTITUTE(SUBSTITUTE(SUBSTITUTE(SUBSTITUTE(SUBSTITUTE(SUBSTITUTE(SUBSTITUTE(SUBSTITUTE(SUBSTITUTE(SUBSTITUTE(SUBSTITUTE(DC68,"{会社}",設定!$B$3),"{自分}",設定!$B$4),"{サービス}",設定!$B$5),"{料金}",設定!$B$7),"{日付1}",設定!$B$8),"{日付2}",設定!$B$9),"{時間1}",設定!$B$10),"{時間2}",設定!$B$11),"{時間}","（指定時間）"),"{日付確定}","（確定日）"),"{時間確定}","（確定時間）"))</f>
        <v/>
      </c>
      <c r="Y68" s="1" t="str">
        <f>IFERROR(VLOOKUP(DB68,スクリプト_フロー!$A:$F,4,FALSE),"")</f>
        <v/>
      </c>
      <c r="Z68" s="6" t="str">
        <f t="shared" si="21"/>
        <v/>
      </c>
      <c r="AA68" s="6"/>
      <c r="AB68" s="4" t="str">
        <f>IF(DE68="","",SUBSTITUTE(SUBSTITUTE(SUBSTITUTE(SUBSTITUTE(SUBSTITUTE(SUBSTITUTE(SUBSTITUTE(SUBSTITUTE(SUBSTITUTE(SUBSTITUTE(SUBSTITUTE(DE68,"{会社}",設定!$B$3),"{自分}",設定!$B$4),"{サービス}",設定!$B$5),"{料金}",設定!$B$7),"{日付1}",設定!$B$8),"{日付2}",設定!$B$9),"{時間1}",設定!$B$10),"{時間2}",設定!$B$11),"{時間}","（指定時間）"),"{日付確定}","（確定日）"),"{時間確定}","（確定時間）"))</f>
        <v/>
      </c>
      <c r="AC68" s="1" t="str">
        <f>IFERROR(VLOOKUP(DD68,スクリプト_フロー!$A:$F,4,FALSE),"")</f>
        <v/>
      </c>
      <c r="AD68" s="6" t="str">
        <f t="shared" si="22"/>
        <v/>
      </c>
      <c r="AE68" s="6"/>
      <c r="AF68" s="4" t="str">
        <f>IF(DG68="","",SUBSTITUTE(SUBSTITUTE(SUBSTITUTE(SUBSTITUTE(SUBSTITUTE(SUBSTITUTE(SUBSTITUTE(SUBSTITUTE(SUBSTITUTE(SUBSTITUTE(SUBSTITUTE(DG68,"{会社}",設定!$B$3),"{自分}",設定!$B$4),"{サービス}",設定!$B$5),"{料金}",設定!$B$7),"{日付1}",設定!$B$8),"{日付2}",設定!$B$9),"{時間1}",設定!$B$10),"{時間2}",設定!$B$11),"{時間}","（指定時間）"),"{日付確定}","（確定日）"),"{時間確定}","（確定時間）"))</f>
        <v/>
      </c>
      <c r="AG68" s="1" t="str">
        <f>IFERROR(VLOOKUP(DF68,スクリプト_フロー!$A:$F,4,FALSE),"")</f>
        <v/>
      </c>
      <c r="CZ68" s="1" t="str">
        <f t="shared" si="23"/>
        <v>|</v>
      </c>
      <c r="DA68" s="1" t="str">
        <f>IFERROR(VLOOKUP(CZ68,スクリプト_フロー!$A:$F,5,FALSE),"")</f>
        <v/>
      </c>
      <c r="DB68" s="1" t="str">
        <f t="shared" si="24"/>
        <v>|</v>
      </c>
      <c r="DC68" s="1" t="str">
        <f>IFERROR(VLOOKUP(DB68,スクリプト_フロー!$A:$F,5,FALSE),"")</f>
        <v/>
      </c>
      <c r="DD68" s="1" t="str">
        <f t="shared" si="25"/>
        <v>|</v>
      </c>
      <c r="DE68" s="1" t="str">
        <f>IFERROR(VLOOKUP(DD68,スクリプト_フロー!$A:$F,5,FALSE),"")</f>
        <v/>
      </c>
      <c r="DF68" s="1" t="str">
        <f t="shared" si="26"/>
        <v>|</v>
      </c>
      <c r="DG68" s="1" t="str">
        <f>IFERROR(VLOOKUP(DF68,スクリプト_フロー!$A:$F,5,FALSE),"")</f>
        <v/>
      </c>
    </row>
    <row r="69" spans="1:111" ht="21">
      <c r="A69" s="1">
        <v>68</v>
      </c>
      <c r="B69" s="1" t="s">
        <v>225</v>
      </c>
      <c r="C69" s="1" t="s">
        <v>226</v>
      </c>
      <c r="D69" s="1" t="s">
        <v>222</v>
      </c>
      <c r="E69" s="6"/>
      <c r="F69" s="6"/>
      <c r="G69" s="6" t="s">
        <v>34</v>
      </c>
      <c r="H69" s="6"/>
      <c r="I69" s="4" t="str">
        <f>SUBSTITUTE(SUBSTITUTE(SUBSTITUTE(SUBSTITUTE(SUBSTITUTE(SUBSTITUTE(SUBSTITUTE(SUBSTITUTE(SUBSTITUTE(SUBSTITUTE(SUBSTITUTE(Q69,"{会社}",設定!$B$3),"{自分}",設定!$B$4),"{サービス}",設定!$B$5),"{料金}",設定!$B$7),"{日付1}",設定!$B$8),"{日付2}",設定!$B$9),"{時間1}",設定!$B$10),"{時間2}",設定!$B$11),"{時間}","（指定時間）"),"{日付確定}","（確定日）"),"{時間確定}","（確定時間）")</f>
        <v/>
      </c>
      <c r="J69" s="1" t="str">
        <f>IFERROR(VLOOKUP(P69,スクリプト_フロー!$A:$F,4,FALSE),"")</f>
        <v/>
      </c>
      <c r="K69" s="6" t="s">
        <v>35</v>
      </c>
      <c r="L69" s="6"/>
      <c r="M69" s="6"/>
      <c r="N69" s="6"/>
      <c r="O69" s="1"/>
      <c r="P69" s="1" t="str">
        <f t="shared" si="18"/>
        <v>①架電|</v>
      </c>
      <c r="Q69" s="1" t="str">
        <f>IFERROR(VLOOKUP(P69,スクリプト_フロー!$A:$F,5,FALSE),"")</f>
        <v/>
      </c>
      <c r="R69" s="6" t="str">
        <f t="shared" si="19"/>
        <v/>
      </c>
      <c r="S69" s="6"/>
      <c r="T69" s="4" t="str">
        <f>IF(DA69="","",SUBSTITUTE(SUBSTITUTE(SUBSTITUTE(SUBSTITUTE(SUBSTITUTE(SUBSTITUTE(SUBSTITUTE(SUBSTITUTE(SUBSTITUTE(SUBSTITUTE(SUBSTITUTE(DA69,"{会社}",設定!$B$3),"{自分}",設定!$B$4),"{サービス}",設定!$B$5),"{料金}",設定!$B$7),"{日付1}",設定!$B$8),"{日付2}",設定!$B$9),"{時間1}",設定!$B$10),"{時間2}",設定!$B$11),"{時間}","（指定時間）"),"{日付確定}","（確定日）"),"{時間確定}","（確定時間）"))</f>
        <v/>
      </c>
      <c r="U69" s="1" t="str">
        <f>IFERROR(VLOOKUP(CZ69,スクリプト_フロー!$A:$F,4,FALSE),"")</f>
        <v/>
      </c>
      <c r="V69" s="6" t="str">
        <f t="shared" si="20"/>
        <v/>
      </c>
      <c r="W69" s="6"/>
      <c r="X69" s="4" t="str">
        <f>IF(DC69="","",SUBSTITUTE(SUBSTITUTE(SUBSTITUTE(SUBSTITUTE(SUBSTITUTE(SUBSTITUTE(SUBSTITUTE(SUBSTITUTE(SUBSTITUTE(SUBSTITUTE(SUBSTITUTE(DC69,"{会社}",設定!$B$3),"{自分}",設定!$B$4),"{サービス}",設定!$B$5),"{料金}",設定!$B$7),"{日付1}",設定!$B$8),"{日付2}",設定!$B$9),"{時間1}",設定!$B$10),"{時間2}",設定!$B$11),"{時間}","（指定時間）"),"{日付確定}","（確定日）"),"{時間確定}","（確定時間）"))</f>
        <v/>
      </c>
      <c r="Y69" s="1" t="str">
        <f>IFERROR(VLOOKUP(DB69,スクリプト_フロー!$A:$F,4,FALSE),"")</f>
        <v/>
      </c>
      <c r="Z69" s="6" t="str">
        <f t="shared" si="21"/>
        <v/>
      </c>
      <c r="AA69" s="6"/>
      <c r="AB69" s="4" t="str">
        <f>IF(DE69="","",SUBSTITUTE(SUBSTITUTE(SUBSTITUTE(SUBSTITUTE(SUBSTITUTE(SUBSTITUTE(SUBSTITUTE(SUBSTITUTE(SUBSTITUTE(SUBSTITUTE(SUBSTITUTE(DE69,"{会社}",設定!$B$3),"{自分}",設定!$B$4),"{サービス}",設定!$B$5),"{料金}",設定!$B$7),"{日付1}",設定!$B$8),"{日付2}",設定!$B$9),"{時間1}",設定!$B$10),"{時間2}",設定!$B$11),"{時間}","（指定時間）"),"{日付確定}","（確定日）"),"{時間確定}","（確定時間）"))</f>
        <v/>
      </c>
      <c r="AC69" s="1" t="str">
        <f>IFERROR(VLOOKUP(DD69,スクリプト_フロー!$A:$F,4,FALSE),"")</f>
        <v/>
      </c>
      <c r="AD69" s="6" t="str">
        <f t="shared" si="22"/>
        <v/>
      </c>
      <c r="AE69" s="6"/>
      <c r="AF69" s="4" t="str">
        <f>IF(DG69="","",SUBSTITUTE(SUBSTITUTE(SUBSTITUTE(SUBSTITUTE(SUBSTITUTE(SUBSTITUTE(SUBSTITUTE(SUBSTITUTE(SUBSTITUTE(SUBSTITUTE(SUBSTITUTE(DG69,"{会社}",設定!$B$3),"{自分}",設定!$B$4),"{サービス}",設定!$B$5),"{料金}",設定!$B$7),"{日付1}",設定!$B$8),"{日付2}",設定!$B$9),"{時間1}",設定!$B$10),"{時間2}",設定!$B$11),"{時間}","（指定時間）"),"{日付確定}","（確定日）"),"{時間確定}","（確定時間）"))</f>
        <v/>
      </c>
      <c r="AG69" s="1" t="str">
        <f>IFERROR(VLOOKUP(DF69,スクリプト_フロー!$A:$F,4,FALSE),"")</f>
        <v/>
      </c>
      <c r="CZ69" s="1" t="str">
        <f t="shared" si="23"/>
        <v>|</v>
      </c>
      <c r="DA69" s="1" t="str">
        <f>IFERROR(VLOOKUP(CZ69,スクリプト_フロー!$A:$F,5,FALSE),"")</f>
        <v/>
      </c>
      <c r="DB69" s="1" t="str">
        <f t="shared" si="24"/>
        <v>|</v>
      </c>
      <c r="DC69" s="1" t="str">
        <f>IFERROR(VLOOKUP(DB69,スクリプト_フロー!$A:$F,5,FALSE),"")</f>
        <v/>
      </c>
      <c r="DD69" s="1" t="str">
        <f t="shared" si="25"/>
        <v>|</v>
      </c>
      <c r="DE69" s="1" t="str">
        <f>IFERROR(VLOOKUP(DD69,スクリプト_フロー!$A:$F,5,FALSE),"")</f>
        <v/>
      </c>
      <c r="DF69" s="1" t="str">
        <f t="shared" si="26"/>
        <v>|</v>
      </c>
      <c r="DG69" s="1" t="str">
        <f>IFERROR(VLOOKUP(DF69,スクリプト_フロー!$A:$F,5,FALSE),"")</f>
        <v/>
      </c>
    </row>
    <row r="70" spans="1:111" ht="21">
      <c r="A70" s="1">
        <v>69</v>
      </c>
      <c r="B70" s="1" t="s">
        <v>227</v>
      </c>
      <c r="C70" s="1" t="s">
        <v>228</v>
      </c>
      <c r="D70" s="1" t="s">
        <v>222</v>
      </c>
      <c r="E70" s="6"/>
      <c r="F70" s="6"/>
      <c r="G70" s="6" t="s">
        <v>34</v>
      </c>
      <c r="H70" s="6"/>
      <c r="I70" s="4" t="str">
        <f>SUBSTITUTE(SUBSTITUTE(SUBSTITUTE(SUBSTITUTE(SUBSTITUTE(SUBSTITUTE(SUBSTITUTE(SUBSTITUTE(SUBSTITUTE(SUBSTITUTE(SUBSTITUTE(Q70,"{会社}",設定!$B$3),"{自分}",設定!$B$4),"{サービス}",設定!$B$5),"{料金}",設定!$B$7),"{日付1}",設定!$B$8),"{日付2}",設定!$B$9),"{時間1}",設定!$B$10),"{時間2}",設定!$B$11),"{時間}","（指定時間）"),"{日付確定}","（確定日）"),"{時間確定}","（確定時間）")</f>
        <v/>
      </c>
      <c r="J70" s="1" t="str">
        <f>IFERROR(VLOOKUP(P70,スクリプト_フロー!$A:$F,4,FALSE),"")</f>
        <v/>
      </c>
      <c r="K70" s="6" t="s">
        <v>35</v>
      </c>
      <c r="L70" s="6"/>
      <c r="M70" s="6"/>
      <c r="N70" s="6"/>
      <c r="O70" s="1"/>
      <c r="P70" s="1" t="str">
        <f t="shared" si="18"/>
        <v>①架電|</v>
      </c>
      <c r="Q70" s="1" t="str">
        <f>IFERROR(VLOOKUP(P70,スクリプト_フロー!$A:$F,5,FALSE),"")</f>
        <v/>
      </c>
      <c r="R70" s="6" t="str">
        <f t="shared" si="19"/>
        <v/>
      </c>
      <c r="S70" s="6"/>
      <c r="T70" s="4" t="str">
        <f>IF(DA70="","",SUBSTITUTE(SUBSTITUTE(SUBSTITUTE(SUBSTITUTE(SUBSTITUTE(SUBSTITUTE(SUBSTITUTE(SUBSTITUTE(SUBSTITUTE(SUBSTITUTE(SUBSTITUTE(DA70,"{会社}",設定!$B$3),"{自分}",設定!$B$4),"{サービス}",設定!$B$5),"{料金}",設定!$B$7),"{日付1}",設定!$B$8),"{日付2}",設定!$B$9),"{時間1}",設定!$B$10),"{時間2}",設定!$B$11),"{時間}","（指定時間）"),"{日付確定}","（確定日）"),"{時間確定}","（確定時間）"))</f>
        <v/>
      </c>
      <c r="U70" s="1" t="str">
        <f>IFERROR(VLOOKUP(CZ70,スクリプト_フロー!$A:$F,4,FALSE),"")</f>
        <v/>
      </c>
      <c r="V70" s="6" t="str">
        <f t="shared" si="20"/>
        <v/>
      </c>
      <c r="W70" s="6"/>
      <c r="X70" s="4" t="str">
        <f>IF(DC70="","",SUBSTITUTE(SUBSTITUTE(SUBSTITUTE(SUBSTITUTE(SUBSTITUTE(SUBSTITUTE(SUBSTITUTE(SUBSTITUTE(SUBSTITUTE(SUBSTITUTE(SUBSTITUTE(DC70,"{会社}",設定!$B$3),"{自分}",設定!$B$4),"{サービス}",設定!$B$5),"{料金}",設定!$B$7),"{日付1}",設定!$B$8),"{日付2}",設定!$B$9),"{時間1}",設定!$B$10),"{時間2}",設定!$B$11),"{時間}","（指定時間）"),"{日付確定}","（確定日）"),"{時間確定}","（確定時間）"))</f>
        <v/>
      </c>
      <c r="Y70" s="1" t="str">
        <f>IFERROR(VLOOKUP(DB70,スクリプト_フロー!$A:$F,4,FALSE),"")</f>
        <v/>
      </c>
      <c r="Z70" s="6" t="str">
        <f t="shared" si="21"/>
        <v/>
      </c>
      <c r="AA70" s="6"/>
      <c r="AB70" s="4" t="str">
        <f>IF(DE70="","",SUBSTITUTE(SUBSTITUTE(SUBSTITUTE(SUBSTITUTE(SUBSTITUTE(SUBSTITUTE(SUBSTITUTE(SUBSTITUTE(SUBSTITUTE(SUBSTITUTE(SUBSTITUTE(DE70,"{会社}",設定!$B$3),"{自分}",設定!$B$4),"{サービス}",設定!$B$5),"{料金}",設定!$B$7),"{日付1}",設定!$B$8),"{日付2}",設定!$B$9),"{時間1}",設定!$B$10),"{時間2}",設定!$B$11),"{時間}","（指定時間）"),"{日付確定}","（確定日）"),"{時間確定}","（確定時間）"))</f>
        <v/>
      </c>
      <c r="AC70" s="1" t="str">
        <f>IFERROR(VLOOKUP(DD70,スクリプト_フロー!$A:$F,4,FALSE),"")</f>
        <v/>
      </c>
      <c r="AD70" s="6" t="str">
        <f t="shared" si="22"/>
        <v/>
      </c>
      <c r="AE70" s="6"/>
      <c r="AF70" s="4" t="str">
        <f>IF(DG70="","",SUBSTITUTE(SUBSTITUTE(SUBSTITUTE(SUBSTITUTE(SUBSTITUTE(SUBSTITUTE(SUBSTITUTE(SUBSTITUTE(SUBSTITUTE(SUBSTITUTE(SUBSTITUTE(DG70,"{会社}",設定!$B$3),"{自分}",設定!$B$4),"{サービス}",設定!$B$5),"{料金}",設定!$B$7),"{日付1}",設定!$B$8),"{日付2}",設定!$B$9),"{時間1}",設定!$B$10),"{時間2}",設定!$B$11),"{時間}","（指定時間）"),"{日付確定}","（確定日）"),"{時間確定}","（確定時間）"))</f>
        <v/>
      </c>
      <c r="AG70" s="1" t="str">
        <f>IFERROR(VLOOKUP(DF70,スクリプト_フロー!$A:$F,4,FALSE),"")</f>
        <v/>
      </c>
      <c r="CZ70" s="1" t="str">
        <f t="shared" si="23"/>
        <v>|</v>
      </c>
      <c r="DA70" s="1" t="str">
        <f>IFERROR(VLOOKUP(CZ70,スクリプト_フロー!$A:$F,5,FALSE),"")</f>
        <v/>
      </c>
      <c r="DB70" s="1" t="str">
        <f t="shared" si="24"/>
        <v>|</v>
      </c>
      <c r="DC70" s="1" t="str">
        <f>IFERROR(VLOOKUP(DB70,スクリプト_フロー!$A:$F,5,FALSE),"")</f>
        <v/>
      </c>
      <c r="DD70" s="1" t="str">
        <f t="shared" si="25"/>
        <v>|</v>
      </c>
      <c r="DE70" s="1" t="str">
        <f>IFERROR(VLOOKUP(DD70,スクリプト_フロー!$A:$F,5,FALSE),"")</f>
        <v/>
      </c>
      <c r="DF70" s="1" t="str">
        <f t="shared" si="26"/>
        <v>|</v>
      </c>
      <c r="DG70" s="1" t="str">
        <f>IFERROR(VLOOKUP(DF70,スクリプト_フロー!$A:$F,5,FALSE),"")</f>
        <v/>
      </c>
    </row>
    <row r="71" spans="1:111" ht="21">
      <c r="A71" s="1">
        <v>70</v>
      </c>
      <c r="B71" s="1" t="s">
        <v>229</v>
      </c>
      <c r="C71" s="1" t="s">
        <v>230</v>
      </c>
      <c r="D71" s="1" t="s">
        <v>222</v>
      </c>
      <c r="E71" s="6"/>
      <c r="F71" s="6"/>
      <c r="G71" s="6" t="s">
        <v>34</v>
      </c>
      <c r="H71" s="6"/>
      <c r="I71" s="4" t="str">
        <f>SUBSTITUTE(SUBSTITUTE(SUBSTITUTE(SUBSTITUTE(SUBSTITUTE(SUBSTITUTE(SUBSTITUTE(SUBSTITUTE(SUBSTITUTE(SUBSTITUTE(SUBSTITUTE(Q71,"{会社}",設定!$B$3),"{自分}",設定!$B$4),"{サービス}",設定!$B$5),"{料金}",設定!$B$7),"{日付1}",設定!$B$8),"{日付2}",設定!$B$9),"{時間1}",設定!$B$10),"{時間2}",設定!$B$11),"{時間}","（指定時間）"),"{日付確定}","（確定日）"),"{時間確定}","（確定時間）")</f>
        <v/>
      </c>
      <c r="J71" s="1" t="str">
        <f>IFERROR(VLOOKUP(P71,スクリプト_フロー!$A:$F,4,FALSE),"")</f>
        <v/>
      </c>
      <c r="K71" s="6" t="s">
        <v>35</v>
      </c>
      <c r="L71" s="6"/>
      <c r="M71" s="6"/>
      <c r="N71" s="6"/>
      <c r="O71" s="1"/>
      <c r="P71" s="1" t="str">
        <f t="shared" si="18"/>
        <v>①架電|</v>
      </c>
      <c r="Q71" s="1" t="str">
        <f>IFERROR(VLOOKUP(P71,スクリプト_フロー!$A:$F,5,FALSE),"")</f>
        <v/>
      </c>
      <c r="R71" s="6" t="str">
        <f t="shared" si="19"/>
        <v/>
      </c>
      <c r="S71" s="6"/>
      <c r="T71" s="4" t="str">
        <f>IF(DA71="","",SUBSTITUTE(SUBSTITUTE(SUBSTITUTE(SUBSTITUTE(SUBSTITUTE(SUBSTITUTE(SUBSTITUTE(SUBSTITUTE(SUBSTITUTE(SUBSTITUTE(SUBSTITUTE(DA71,"{会社}",設定!$B$3),"{自分}",設定!$B$4),"{サービス}",設定!$B$5),"{料金}",設定!$B$7),"{日付1}",設定!$B$8),"{日付2}",設定!$B$9),"{時間1}",設定!$B$10),"{時間2}",設定!$B$11),"{時間}","（指定時間）"),"{日付確定}","（確定日）"),"{時間確定}","（確定時間）"))</f>
        <v/>
      </c>
      <c r="U71" s="1" t="str">
        <f>IFERROR(VLOOKUP(CZ71,スクリプト_フロー!$A:$F,4,FALSE),"")</f>
        <v/>
      </c>
      <c r="V71" s="6" t="str">
        <f t="shared" si="20"/>
        <v/>
      </c>
      <c r="W71" s="6"/>
      <c r="X71" s="4" t="str">
        <f>IF(DC71="","",SUBSTITUTE(SUBSTITUTE(SUBSTITUTE(SUBSTITUTE(SUBSTITUTE(SUBSTITUTE(SUBSTITUTE(SUBSTITUTE(SUBSTITUTE(SUBSTITUTE(SUBSTITUTE(DC71,"{会社}",設定!$B$3),"{自分}",設定!$B$4),"{サービス}",設定!$B$5),"{料金}",設定!$B$7),"{日付1}",設定!$B$8),"{日付2}",設定!$B$9),"{時間1}",設定!$B$10),"{時間2}",設定!$B$11),"{時間}","（指定時間）"),"{日付確定}","（確定日）"),"{時間確定}","（確定時間）"))</f>
        <v/>
      </c>
      <c r="Y71" s="1" t="str">
        <f>IFERROR(VLOOKUP(DB71,スクリプト_フロー!$A:$F,4,FALSE),"")</f>
        <v/>
      </c>
      <c r="Z71" s="6" t="str">
        <f t="shared" si="21"/>
        <v/>
      </c>
      <c r="AA71" s="6"/>
      <c r="AB71" s="4" t="str">
        <f>IF(DE71="","",SUBSTITUTE(SUBSTITUTE(SUBSTITUTE(SUBSTITUTE(SUBSTITUTE(SUBSTITUTE(SUBSTITUTE(SUBSTITUTE(SUBSTITUTE(SUBSTITUTE(SUBSTITUTE(DE71,"{会社}",設定!$B$3),"{自分}",設定!$B$4),"{サービス}",設定!$B$5),"{料金}",設定!$B$7),"{日付1}",設定!$B$8),"{日付2}",設定!$B$9),"{時間1}",設定!$B$10),"{時間2}",設定!$B$11),"{時間}","（指定時間）"),"{日付確定}","（確定日）"),"{時間確定}","（確定時間）"))</f>
        <v/>
      </c>
      <c r="AC71" s="1" t="str">
        <f>IFERROR(VLOOKUP(DD71,スクリプト_フロー!$A:$F,4,FALSE),"")</f>
        <v/>
      </c>
      <c r="AD71" s="6" t="str">
        <f t="shared" si="22"/>
        <v/>
      </c>
      <c r="AE71" s="6"/>
      <c r="AF71" s="4" t="str">
        <f>IF(DG71="","",SUBSTITUTE(SUBSTITUTE(SUBSTITUTE(SUBSTITUTE(SUBSTITUTE(SUBSTITUTE(SUBSTITUTE(SUBSTITUTE(SUBSTITUTE(SUBSTITUTE(SUBSTITUTE(DG71,"{会社}",設定!$B$3),"{自分}",設定!$B$4),"{サービス}",設定!$B$5),"{料金}",設定!$B$7),"{日付1}",設定!$B$8),"{日付2}",設定!$B$9),"{時間1}",設定!$B$10),"{時間2}",設定!$B$11),"{時間}","（指定時間）"),"{日付確定}","（確定日）"),"{時間確定}","（確定時間）"))</f>
        <v/>
      </c>
      <c r="AG71" s="1" t="str">
        <f>IFERROR(VLOOKUP(DF71,スクリプト_フロー!$A:$F,4,FALSE),"")</f>
        <v/>
      </c>
      <c r="CZ71" s="1" t="str">
        <f t="shared" si="23"/>
        <v>|</v>
      </c>
      <c r="DA71" s="1" t="str">
        <f>IFERROR(VLOOKUP(CZ71,スクリプト_フロー!$A:$F,5,FALSE),"")</f>
        <v/>
      </c>
      <c r="DB71" s="1" t="str">
        <f t="shared" si="24"/>
        <v>|</v>
      </c>
      <c r="DC71" s="1" t="str">
        <f>IFERROR(VLOOKUP(DB71,スクリプト_フロー!$A:$F,5,FALSE),"")</f>
        <v/>
      </c>
      <c r="DD71" s="1" t="str">
        <f t="shared" si="25"/>
        <v>|</v>
      </c>
      <c r="DE71" s="1" t="str">
        <f>IFERROR(VLOOKUP(DD71,スクリプト_フロー!$A:$F,5,FALSE),"")</f>
        <v/>
      </c>
      <c r="DF71" s="1" t="str">
        <f t="shared" si="26"/>
        <v>|</v>
      </c>
      <c r="DG71" s="1" t="str">
        <f>IFERROR(VLOOKUP(DF71,スクリプト_フロー!$A:$F,5,FALSE),"")</f>
        <v/>
      </c>
    </row>
    <row r="72" spans="1:111" ht="21">
      <c r="A72" s="1">
        <v>71</v>
      </c>
      <c r="B72" s="1" t="s">
        <v>231</v>
      </c>
      <c r="C72" s="1" t="s">
        <v>232</v>
      </c>
      <c r="D72" s="1" t="s">
        <v>222</v>
      </c>
      <c r="E72" s="6"/>
      <c r="F72" s="6"/>
      <c r="G72" s="6" t="s">
        <v>34</v>
      </c>
      <c r="H72" s="6"/>
      <c r="I72" s="4" t="str">
        <f>SUBSTITUTE(SUBSTITUTE(SUBSTITUTE(SUBSTITUTE(SUBSTITUTE(SUBSTITUTE(SUBSTITUTE(SUBSTITUTE(SUBSTITUTE(SUBSTITUTE(SUBSTITUTE(Q72,"{会社}",設定!$B$3),"{自分}",設定!$B$4),"{サービス}",設定!$B$5),"{料金}",設定!$B$7),"{日付1}",設定!$B$8),"{日付2}",設定!$B$9),"{時間1}",設定!$B$10),"{時間2}",設定!$B$11),"{時間}","（指定時間）"),"{日付確定}","（確定日）"),"{時間確定}","（確定時間）")</f>
        <v/>
      </c>
      <c r="J72" s="1" t="str">
        <f>IFERROR(VLOOKUP(P72,スクリプト_フロー!$A:$F,4,FALSE),"")</f>
        <v/>
      </c>
      <c r="K72" s="6" t="s">
        <v>35</v>
      </c>
      <c r="L72" s="6"/>
      <c r="M72" s="6"/>
      <c r="N72" s="6"/>
      <c r="O72" s="1"/>
      <c r="P72" s="1" t="str">
        <f t="shared" si="18"/>
        <v>①架電|</v>
      </c>
      <c r="Q72" s="1" t="str">
        <f>IFERROR(VLOOKUP(P72,スクリプト_フロー!$A:$F,5,FALSE),"")</f>
        <v/>
      </c>
      <c r="R72" s="6" t="str">
        <f t="shared" si="19"/>
        <v/>
      </c>
      <c r="S72" s="6"/>
      <c r="T72" s="4" t="str">
        <f>IF(DA72="","",SUBSTITUTE(SUBSTITUTE(SUBSTITUTE(SUBSTITUTE(SUBSTITUTE(SUBSTITUTE(SUBSTITUTE(SUBSTITUTE(SUBSTITUTE(SUBSTITUTE(SUBSTITUTE(DA72,"{会社}",設定!$B$3),"{自分}",設定!$B$4),"{サービス}",設定!$B$5),"{料金}",設定!$B$7),"{日付1}",設定!$B$8),"{日付2}",設定!$B$9),"{時間1}",設定!$B$10),"{時間2}",設定!$B$11),"{時間}","（指定時間）"),"{日付確定}","（確定日）"),"{時間確定}","（確定時間）"))</f>
        <v/>
      </c>
      <c r="U72" s="1" t="str">
        <f>IFERROR(VLOOKUP(CZ72,スクリプト_フロー!$A:$F,4,FALSE),"")</f>
        <v/>
      </c>
      <c r="V72" s="6" t="str">
        <f t="shared" si="20"/>
        <v/>
      </c>
      <c r="W72" s="6"/>
      <c r="X72" s="4" t="str">
        <f>IF(DC72="","",SUBSTITUTE(SUBSTITUTE(SUBSTITUTE(SUBSTITUTE(SUBSTITUTE(SUBSTITUTE(SUBSTITUTE(SUBSTITUTE(SUBSTITUTE(SUBSTITUTE(SUBSTITUTE(DC72,"{会社}",設定!$B$3),"{自分}",設定!$B$4),"{サービス}",設定!$B$5),"{料金}",設定!$B$7),"{日付1}",設定!$B$8),"{日付2}",設定!$B$9),"{時間1}",設定!$B$10),"{時間2}",設定!$B$11),"{時間}","（指定時間）"),"{日付確定}","（確定日）"),"{時間確定}","（確定時間）"))</f>
        <v/>
      </c>
      <c r="Y72" s="1" t="str">
        <f>IFERROR(VLOOKUP(DB72,スクリプト_フロー!$A:$F,4,FALSE),"")</f>
        <v/>
      </c>
      <c r="Z72" s="6" t="str">
        <f t="shared" si="21"/>
        <v/>
      </c>
      <c r="AA72" s="6"/>
      <c r="AB72" s="4" t="str">
        <f>IF(DE72="","",SUBSTITUTE(SUBSTITUTE(SUBSTITUTE(SUBSTITUTE(SUBSTITUTE(SUBSTITUTE(SUBSTITUTE(SUBSTITUTE(SUBSTITUTE(SUBSTITUTE(SUBSTITUTE(DE72,"{会社}",設定!$B$3),"{自分}",設定!$B$4),"{サービス}",設定!$B$5),"{料金}",設定!$B$7),"{日付1}",設定!$B$8),"{日付2}",設定!$B$9),"{時間1}",設定!$B$10),"{時間2}",設定!$B$11),"{時間}","（指定時間）"),"{日付確定}","（確定日）"),"{時間確定}","（確定時間）"))</f>
        <v/>
      </c>
      <c r="AC72" s="1" t="str">
        <f>IFERROR(VLOOKUP(DD72,スクリプト_フロー!$A:$F,4,FALSE),"")</f>
        <v/>
      </c>
      <c r="AD72" s="6" t="str">
        <f t="shared" si="22"/>
        <v/>
      </c>
      <c r="AE72" s="6"/>
      <c r="AF72" s="4" t="str">
        <f>IF(DG72="","",SUBSTITUTE(SUBSTITUTE(SUBSTITUTE(SUBSTITUTE(SUBSTITUTE(SUBSTITUTE(SUBSTITUTE(SUBSTITUTE(SUBSTITUTE(SUBSTITUTE(SUBSTITUTE(DG72,"{会社}",設定!$B$3),"{自分}",設定!$B$4),"{サービス}",設定!$B$5),"{料金}",設定!$B$7),"{日付1}",設定!$B$8),"{日付2}",設定!$B$9),"{時間1}",設定!$B$10),"{時間2}",設定!$B$11),"{時間}","（指定時間）"),"{日付確定}","（確定日）"),"{時間確定}","（確定時間）"))</f>
        <v/>
      </c>
      <c r="AG72" s="1" t="str">
        <f>IFERROR(VLOOKUP(DF72,スクリプト_フロー!$A:$F,4,FALSE),"")</f>
        <v/>
      </c>
      <c r="CZ72" s="1" t="str">
        <f t="shared" si="23"/>
        <v>|</v>
      </c>
      <c r="DA72" s="1" t="str">
        <f>IFERROR(VLOOKUP(CZ72,スクリプト_フロー!$A:$F,5,FALSE),"")</f>
        <v/>
      </c>
      <c r="DB72" s="1" t="str">
        <f t="shared" si="24"/>
        <v>|</v>
      </c>
      <c r="DC72" s="1" t="str">
        <f>IFERROR(VLOOKUP(DB72,スクリプト_フロー!$A:$F,5,FALSE),"")</f>
        <v/>
      </c>
      <c r="DD72" s="1" t="str">
        <f t="shared" si="25"/>
        <v>|</v>
      </c>
      <c r="DE72" s="1" t="str">
        <f>IFERROR(VLOOKUP(DD72,スクリプト_フロー!$A:$F,5,FALSE),"")</f>
        <v/>
      </c>
      <c r="DF72" s="1" t="str">
        <f t="shared" si="26"/>
        <v>|</v>
      </c>
      <c r="DG72" s="1" t="str">
        <f>IFERROR(VLOOKUP(DF72,スクリプト_フロー!$A:$F,5,FALSE),"")</f>
        <v/>
      </c>
    </row>
    <row r="73" spans="1:111" ht="21">
      <c r="A73" s="1">
        <v>72</v>
      </c>
      <c r="B73" s="1" t="s">
        <v>233</v>
      </c>
      <c r="C73" s="1" t="s">
        <v>234</v>
      </c>
      <c r="D73" s="1" t="s">
        <v>222</v>
      </c>
      <c r="E73" s="6"/>
      <c r="F73" s="6"/>
      <c r="G73" s="6" t="s">
        <v>34</v>
      </c>
      <c r="H73" s="6"/>
      <c r="I73" s="4" t="str">
        <f>SUBSTITUTE(SUBSTITUTE(SUBSTITUTE(SUBSTITUTE(SUBSTITUTE(SUBSTITUTE(SUBSTITUTE(SUBSTITUTE(SUBSTITUTE(SUBSTITUTE(SUBSTITUTE(Q73,"{会社}",設定!$B$3),"{自分}",設定!$B$4),"{サービス}",設定!$B$5),"{料金}",設定!$B$7),"{日付1}",設定!$B$8),"{日付2}",設定!$B$9),"{時間1}",設定!$B$10),"{時間2}",設定!$B$11),"{時間}","（指定時間）"),"{日付確定}","（確定日）"),"{時間確定}","（確定時間）")</f>
        <v/>
      </c>
      <c r="J73" s="1" t="str">
        <f>IFERROR(VLOOKUP(P73,スクリプト_フロー!$A:$F,4,FALSE),"")</f>
        <v/>
      </c>
      <c r="K73" s="6" t="s">
        <v>35</v>
      </c>
      <c r="L73" s="6"/>
      <c r="M73" s="6"/>
      <c r="N73" s="6"/>
      <c r="O73" s="1"/>
      <c r="P73" s="1" t="str">
        <f t="shared" si="18"/>
        <v>①架電|</v>
      </c>
      <c r="Q73" s="1" t="str">
        <f>IFERROR(VLOOKUP(P73,スクリプト_フロー!$A:$F,5,FALSE),"")</f>
        <v/>
      </c>
      <c r="R73" s="6" t="str">
        <f t="shared" si="19"/>
        <v/>
      </c>
      <c r="S73" s="6"/>
      <c r="T73" s="4" t="str">
        <f>IF(DA73="","",SUBSTITUTE(SUBSTITUTE(SUBSTITUTE(SUBSTITUTE(SUBSTITUTE(SUBSTITUTE(SUBSTITUTE(SUBSTITUTE(SUBSTITUTE(SUBSTITUTE(SUBSTITUTE(DA73,"{会社}",設定!$B$3),"{自分}",設定!$B$4),"{サービス}",設定!$B$5),"{料金}",設定!$B$7),"{日付1}",設定!$B$8),"{日付2}",設定!$B$9),"{時間1}",設定!$B$10),"{時間2}",設定!$B$11),"{時間}","（指定時間）"),"{日付確定}","（確定日）"),"{時間確定}","（確定時間）"))</f>
        <v/>
      </c>
      <c r="U73" s="1" t="str">
        <f>IFERROR(VLOOKUP(CZ73,スクリプト_フロー!$A:$F,4,FALSE),"")</f>
        <v/>
      </c>
      <c r="V73" s="6" t="str">
        <f t="shared" si="20"/>
        <v/>
      </c>
      <c r="W73" s="6"/>
      <c r="X73" s="4" t="str">
        <f>IF(DC73="","",SUBSTITUTE(SUBSTITUTE(SUBSTITUTE(SUBSTITUTE(SUBSTITUTE(SUBSTITUTE(SUBSTITUTE(SUBSTITUTE(SUBSTITUTE(SUBSTITUTE(SUBSTITUTE(DC73,"{会社}",設定!$B$3),"{自分}",設定!$B$4),"{サービス}",設定!$B$5),"{料金}",設定!$B$7),"{日付1}",設定!$B$8),"{日付2}",設定!$B$9),"{時間1}",設定!$B$10),"{時間2}",設定!$B$11),"{時間}","（指定時間）"),"{日付確定}","（確定日）"),"{時間確定}","（確定時間）"))</f>
        <v/>
      </c>
      <c r="Y73" s="1" t="str">
        <f>IFERROR(VLOOKUP(DB73,スクリプト_フロー!$A:$F,4,FALSE),"")</f>
        <v/>
      </c>
      <c r="Z73" s="6" t="str">
        <f t="shared" si="21"/>
        <v/>
      </c>
      <c r="AA73" s="6"/>
      <c r="AB73" s="4" t="str">
        <f>IF(DE73="","",SUBSTITUTE(SUBSTITUTE(SUBSTITUTE(SUBSTITUTE(SUBSTITUTE(SUBSTITUTE(SUBSTITUTE(SUBSTITUTE(SUBSTITUTE(SUBSTITUTE(SUBSTITUTE(DE73,"{会社}",設定!$B$3),"{自分}",設定!$B$4),"{サービス}",設定!$B$5),"{料金}",設定!$B$7),"{日付1}",設定!$B$8),"{日付2}",設定!$B$9),"{時間1}",設定!$B$10),"{時間2}",設定!$B$11),"{時間}","（指定時間）"),"{日付確定}","（確定日）"),"{時間確定}","（確定時間）"))</f>
        <v/>
      </c>
      <c r="AC73" s="1" t="str">
        <f>IFERROR(VLOOKUP(DD73,スクリプト_フロー!$A:$F,4,FALSE),"")</f>
        <v/>
      </c>
      <c r="AD73" s="6" t="str">
        <f t="shared" si="22"/>
        <v/>
      </c>
      <c r="AE73" s="6"/>
      <c r="AF73" s="4" t="str">
        <f>IF(DG73="","",SUBSTITUTE(SUBSTITUTE(SUBSTITUTE(SUBSTITUTE(SUBSTITUTE(SUBSTITUTE(SUBSTITUTE(SUBSTITUTE(SUBSTITUTE(SUBSTITUTE(SUBSTITUTE(DG73,"{会社}",設定!$B$3),"{自分}",設定!$B$4),"{サービス}",設定!$B$5),"{料金}",設定!$B$7),"{日付1}",設定!$B$8),"{日付2}",設定!$B$9),"{時間1}",設定!$B$10),"{時間2}",設定!$B$11),"{時間}","（指定時間）"),"{日付確定}","（確定日）"),"{時間確定}","（確定時間）"))</f>
        <v/>
      </c>
      <c r="AG73" s="1" t="str">
        <f>IFERROR(VLOOKUP(DF73,スクリプト_フロー!$A:$F,4,FALSE),"")</f>
        <v/>
      </c>
      <c r="CZ73" s="1" t="str">
        <f t="shared" si="23"/>
        <v>|</v>
      </c>
      <c r="DA73" s="1" t="str">
        <f>IFERROR(VLOOKUP(CZ73,スクリプト_フロー!$A:$F,5,FALSE),"")</f>
        <v/>
      </c>
      <c r="DB73" s="1" t="str">
        <f t="shared" si="24"/>
        <v>|</v>
      </c>
      <c r="DC73" s="1" t="str">
        <f>IFERROR(VLOOKUP(DB73,スクリプト_フロー!$A:$F,5,FALSE),"")</f>
        <v/>
      </c>
      <c r="DD73" s="1" t="str">
        <f t="shared" si="25"/>
        <v>|</v>
      </c>
      <c r="DE73" s="1" t="str">
        <f>IFERROR(VLOOKUP(DD73,スクリプト_フロー!$A:$F,5,FALSE),"")</f>
        <v/>
      </c>
      <c r="DF73" s="1" t="str">
        <f t="shared" si="26"/>
        <v>|</v>
      </c>
      <c r="DG73" s="1" t="str">
        <f>IFERROR(VLOOKUP(DF73,スクリプト_フロー!$A:$F,5,FALSE),"")</f>
        <v/>
      </c>
    </row>
    <row r="74" spans="1:111" ht="21">
      <c r="A74" s="1">
        <v>73</v>
      </c>
      <c r="B74" s="1" t="s">
        <v>235</v>
      </c>
      <c r="C74" s="1" t="s">
        <v>236</v>
      </c>
      <c r="D74" s="1" t="s">
        <v>222</v>
      </c>
      <c r="E74" s="6"/>
      <c r="F74" s="6"/>
      <c r="G74" s="6" t="s">
        <v>34</v>
      </c>
      <c r="H74" s="6"/>
      <c r="I74" s="4" t="str">
        <f>SUBSTITUTE(SUBSTITUTE(SUBSTITUTE(SUBSTITUTE(SUBSTITUTE(SUBSTITUTE(SUBSTITUTE(SUBSTITUTE(SUBSTITUTE(SUBSTITUTE(SUBSTITUTE(Q74,"{会社}",設定!$B$3),"{自分}",設定!$B$4),"{サービス}",設定!$B$5),"{料金}",設定!$B$7),"{日付1}",設定!$B$8),"{日付2}",設定!$B$9),"{時間1}",設定!$B$10),"{時間2}",設定!$B$11),"{時間}","（指定時間）"),"{日付確定}","（確定日）"),"{時間確定}","（確定時間）")</f>
        <v/>
      </c>
      <c r="J74" s="1" t="str">
        <f>IFERROR(VLOOKUP(P74,スクリプト_フロー!$A:$F,4,FALSE),"")</f>
        <v/>
      </c>
      <c r="K74" s="6" t="s">
        <v>35</v>
      </c>
      <c r="L74" s="6"/>
      <c r="M74" s="6"/>
      <c r="N74" s="6"/>
      <c r="O74" s="1"/>
      <c r="P74" s="1" t="str">
        <f t="shared" si="18"/>
        <v>①架電|</v>
      </c>
      <c r="Q74" s="1" t="str">
        <f>IFERROR(VLOOKUP(P74,スクリプト_フロー!$A:$F,5,FALSE),"")</f>
        <v/>
      </c>
      <c r="R74" s="6" t="str">
        <f t="shared" si="19"/>
        <v/>
      </c>
      <c r="S74" s="6"/>
      <c r="T74" s="4" t="str">
        <f>IF(DA74="","",SUBSTITUTE(SUBSTITUTE(SUBSTITUTE(SUBSTITUTE(SUBSTITUTE(SUBSTITUTE(SUBSTITUTE(SUBSTITUTE(SUBSTITUTE(SUBSTITUTE(SUBSTITUTE(DA74,"{会社}",設定!$B$3),"{自分}",設定!$B$4),"{サービス}",設定!$B$5),"{料金}",設定!$B$7),"{日付1}",設定!$B$8),"{日付2}",設定!$B$9),"{時間1}",設定!$B$10),"{時間2}",設定!$B$11),"{時間}","（指定時間）"),"{日付確定}","（確定日）"),"{時間確定}","（確定時間）"))</f>
        <v/>
      </c>
      <c r="U74" s="1" t="str">
        <f>IFERROR(VLOOKUP(CZ74,スクリプト_フロー!$A:$F,4,FALSE),"")</f>
        <v/>
      </c>
      <c r="V74" s="6" t="str">
        <f t="shared" si="20"/>
        <v/>
      </c>
      <c r="W74" s="6"/>
      <c r="X74" s="4" t="str">
        <f>IF(DC74="","",SUBSTITUTE(SUBSTITUTE(SUBSTITUTE(SUBSTITUTE(SUBSTITUTE(SUBSTITUTE(SUBSTITUTE(SUBSTITUTE(SUBSTITUTE(SUBSTITUTE(SUBSTITUTE(DC74,"{会社}",設定!$B$3),"{自分}",設定!$B$4),"{サービス}",設定!$B$5),"{料金}",設定!$B$7),"{日付1}",設定!$B$8),"{日付2}",設定!$B$9),"{時間1}",設定!$B$10),"{時間2}",設定!$B$11),"{時間}","（指定時間）"),"{日付確定}","（確定日）"),"{時間確定}","（確定時間）"))</f>
        <v/>
      </c>
      <c r="Y74" s="1" t="str">
        <f>IFERROR(VLOOKUP(DB74,スクリプト_フロー!$A:$F,4,FALSE),"")</f>
        <v/>
      </c>
      <c r="Z74" s="6" t="str">
        <f t="shared" si="21"/>
        <v/>
      </c>
      <c r="AA74" s="6"/>
      <c r="AB74" s="4" t="str">
        <f>IF(DE74="","",SUBSTITUTE(SUBSTITUTE(SUBSTITUTE(SUBSTITUTE(SUBSTITUTE(SUBSTITUTE(SUBSTITUTE(SUBSTITUTE(SUBSTITUTE(SUBSTITUTE(SUBSTITUTE(DE74,"{会社}",設定!$B$3),"{自分}",設定!$B$4),"{サービス}",設定!$B$5),"{料金}",設定!$B$7),"{日付1}",設定!$B$8),"{日付2}",設定!$B$9),"{時間1}",設定!$B$10),"{時間2}",設定!$B$11),"{時間}","（指定時間）"),"{日付確定}","（確定日）"),"{時間確定}","（確定時間）"))</f>
        <v/>
      </c>
      <c r="AC74" s="1" t="str">
        <f>IFERROR(VLOOKUP(DD74,スクリプト_フロー!$A:$F,4,FALSE),"")</f>
        <v/>
      </c>
      <c r="AD74" s="6" t="str">
        <f t="shared" si="22"/>
        <v/>
      </c>
      <c r="AE74" s="6"/>
      <c r="AF74" s="4" t="str">
        <f>IF(DG74="","",SUBSTITUTE(SUBSTITUTE(SUBSTITUTE(SUBSTITUTE(SUBSTITUTE(SUBSTITUTE(SUBSTITUTE(SUBSTITUTE(SUBSTITUTE(SUBSTITUTE(SUBSTITUTE(DG74,"{会社}",設定!$B$3),"{自分}",設定!$B$4),"{サービス}",設定!$B$5),"{料金}",設定!$B$7),"{日付1}",設定!$B$8),"{日付2}",設定!$B$9),"{時間1}",設定!$B$10),"{時間2}",設定!$B$11),"{時間}","（指定時間）"),"{日付確定}","（確定日）"),"{時間確定}","（確定時間）"))</f>
        <v/>
      </c>
      <c r="AG74" s="1" t="str">
        <f>IFERROR(VLOOKUP(DF74,スクリプト_フロー!$A:$F,4,FALSE),"")</f>
        <v/>
      </c>
      <c r="CZ74" s="1" t="str">
        <f t="shared" si="23"/>
        <v>|</v>
      </c>
      <c r="DA74" s="1" t="str">
        <f>IFERROR(VLOOKUP(CZ74,スクリプト_フロー!$A:$F,5,FALSE),"")</f>
        <v/>
      </c>
      <c r="DB74" s="1" t="str">
        <f t="shared" si="24"/>
        <v>|</v>
      </c>
      <c r="DC74" s="1" t="str">
        <f>IFERROR(VLOOKUP(DB74,スクリプト_フロー!$A:$F,5,FALSE),"")</f>
        <v/>
      </c>
      <c r="DD74" s="1" t="str">
        <f t="shared" si="25"/>
        <v>|</v>
      </c>
      <c r="DE74" s="1" t="str">
        <f>IFERROR(VLOOKUP(DD74,スクリプト_フロー!$A:$F,5,FALSE),"")</f>
        <v/>
      </c>
      <c r="DF74" s="1" t="str">
        <f t="shared" si="26"/>
        <v>|</v>
      </c>
      <c r="DG74" s="1" t="str">
        <f>IFERROR(VLOOKUP(DF74,スクリプト_フロー!$A:$F,5,FALSE),"")</f>
        <v/>
      </c>
    </row>
    <row r="75" spans="1:111" ht="21">
      <c r="A75" s="1">
        <v>74</v>
      </c>
      <c r="B75" s="1" t="s">
        <v>237</v>
      </c>
      <c r="C75" s="1" t="s">
        <v>238</v>
      </c>
      <c r="D75" s="1" t="s">
        <v>222</v>
      </c>
      <c r="E75" s="6"/>
      <c r="F75" s="6"/>
      <c r="G75" s="6" t="s">
        <v>34</v>
      </c>
      <c r="H75" s="6"/>
      <c r="I75" s="4" t="str">
        <f>SUBSTITUTE(SUBSTITUTE(SUBSTITUTE(SUBSTITUTE(SUBSTITUTE(SUBSTITUTE(SUBSTITUTE(SUBSTITUTE(SUBSTITUTE(SUBSTITUTE(SUBSTITUTE(Q75,"{会社}",設定!$B$3),"{自分}",設定!$B$4),"{サービス}",設定!$B$5),"{料金}",設定!$B$7),"{日付1}",設定!$B$8),"{日付2}",設定!$B$9),"{時間1}",設定!$B$10),"{時間2}",設定!$B$11),"{時間}","（指定時間）"),"{日付確定}","（確定日）"),"{時間確定}","（確定時間）")</f>
        <v/>
      </c>
      <c r="J75" s="1" t="str">
        <f>IFERROR(VLOOKUP(P75,スクリプト_フロー!$A:$F,4,FALSE),"")</f>
        <v/>
      </c>
      <c r="K75" s="6" t="s">
        <v>35</v>
      </c>
      <c r="L75" s="6"/>
      <c r="M75" s="6"/>
      <c r="N75" s="6"/>
      <c r="O75" s="1"/>
      <c r="P75" s="1" t="str">
        <f t="shared" si="18"/>
        <v>①架電|</v>
      </c>
      <c r="Q75" s="1" t="str">
        <f>IFERROR(VLOOKUP(P75,スクリプト_フロー!$A:$F,5,FALSE),"")</f>
        <v/>
      </c>
      <c r="R75" s="6" t="str">
        <f t="shared" si="19"/>
        <v/>
      </c>
      <c r="S75" s="6"/>
      <c r="T75" s="4" t="str">
        <f>IF(DA75="","",SUBSTITUTE(SUBSTITUTE(SUBSTITUTE(SUBSTITUTE(SUBSTITUTE(SUBSTITUTE(SUBSTITUTE(SUBSTITUTE(SUBSTITUTE(SUBSTITUTE(SUBSTITUTE(DA75,"{会社}",設定!$B$3),"{自分}",設定!$B$4),"{サービス}",設定!$B$5),"{料金}",設定!$B$7),"{日付1}",設定!$B$8),"{日付2}",設定!$B$9),"{時間1}",設定!$B$10),"{時間2}",設定!$B$11),"{時間}","（指定時間）"),"{日付確定}","（確定日）"),"{時間確定}","（確定時間）"))</f>
        <v/>
      </c>
      <c r="U75" s="1" t="str">
        <f>IFERROR(VLOOKUP(CZ75,スクリプト_フロー!$A:$F,4,FALSE),"")</f>
        <v/>
      </c>
      <c r="V75" s="6" t="str">
        <f t="shared" si="20"/>
        <v/>
      </c>
      <c r="W75" s="6"/>
      <c r="X75" s="4" t="str">
        <f>IF(DC75="","",SUBSTITUTE(SUBSTITUTE(SUBSTITUTE(SUBSTITUTE(SUBSTITUTE(SUBSTITUTE(SUBSTITUTE(SUBSTITUTE(SUBSTITUTE(SUBSTITUTE(SUBSTITUTE(DC75,"{会社}",設定!$B$3),"{自分}",設定!$B$4),"{サービス}",設定!$B$5),"{料金}",設定!$B$7),"{日付1}",設定!$B$8),"{日付2}",設定!$B$9),"{時間1}",設定!$B$10),"{時間2}",設定!$B$11),"{時間}","（指定時間）"),"{日付確定}","（確定日）"),"{時間確定}","（確定時間）"))</f>
        <v/>
      </c>
      <c r="Y75" s="1" t="str">
        <f>IFERROR(VLOOKUP(DB75,スクリプト_フロー!$A:$F,4,FALSE),"")</f>
        <v/>
      </c>
      <c r="Z75" s="6" t="str">
        <f t="shared" si="21"/>
        <v/>
      </c>
      <c r="AA75" s="6"/>
      <c r="AB75" s="4" t="str">
        <f>IF(DE75="","",SUBSTITUTE(SUBSTITUTE(SUBSTITUTE(SUBSTITUTE(SUBSTITUTE(SUBSTITUTE(SUBSTITUTE(SUBSTITUTE(SUBSTITUTE(SUBSTITUTE(SUBSTITUTE(DE75,"{会社}",設定!$B$3),"{自分}",設定!$B$4),"{サービス}",設定!$B$5),"{料金}",設定!$B$7),"{日付1}",設定!$B$8),"{日付2}",設定!$B$9),"{時間1}",設定!$B$10),"{時間2}",設定!$B$11),"{時間}","（指定時間）"),"{日付確定}","（確定日）"),"{時間確定}","（確定時間）"))</f>
        <v/>
      </c>
      <c r="AC75" s="1" t="str">
        <f>IFERROR(VLOOKUP(DD75,スクリプト_フロー!$A:$F,4,FALSE),"")</f>
        <v/>
      </c>
      <c r="AD75" s="6" t="str">
        <f t="shared" si="22"/>
        <v/>
      </c>
      <c r="AE75" s="6"/>
      <c r="AF75" s="4" t="str">
        <f>IF(DG75="","",SUBSTITUTE(SUBSTITUTE(SUBSTITUTE(SUBSTITUTE(SUBSTITUTE(SUBSTITUTE(SUBSTITUTE(SUBSTITUTE(SUBSTITUTE(SUBSTITUTE(SUBSTITUTE(DG75,"{会社}",設定!$B$3),"{自分}",設定!$B$4),"{サービス}",設定!$B$5),"{料金}",設定!$B$7),"{日付1}",設定!$B$8),"{日付2}",設定!$B$9),"{時間1}",設定!$B$10),"{時間2}",設定!$B$11),"{時間}","（指定時間）"),"{日付確定}","（確定日）"),"{時間確定}","（確定時間）"))</f>
        <v/>
      </c>
      <c r="AG75" s="1" t="str">
        <f>IFERROR(VLOOKUP(DF75,スクリプト_フロー!$A:$F,4,FALSE),"")</f>
        <v/>
      </c>
      <c r="CZ75" s="1" t="str">
        <f t="shared" si="23"/>
        <v>|</v>
      </c>
      <c r="DA75" s="1" t="str">
        <f>IFERROR(VLOOKUP(CZ75,スクリプト_フロー!$A:$F,5,FALSE),"")</f>
        <v/>
      </c>
      <c r="DB75" s="1" t="str">
        <f t="shared" si="24"/>
        <v>|</v>
      </c>
      <c r="DC75" s="1" t="str">
        <f>IFERROR(VLOOKUP(DB75,スクリプト_フロー!$A:$F,5,FALSE),"")</f>
        <v/>
      </c>
      <c r="DD75" s="1" t="str">
        <f t="shared" si="25"/>
        <v>|</v>
      </c>
      <c r="DE75" s="1" t="str">
        <f>IFERROR(VLOOKUP(DD75,スクリプト_フロー!$A:$F,5,FALSE),"")</f>
        <v/>
      </c>
      <c r="DF75" s="1" t="str">
        <f t="shared" si="26"/>
        <v>|</v>
      </c>
      <c r="DG75" s="1" t="str">
        <f>IFERROR(VLOOKUP(DF75,スクリプト_フロー!$A:$F,5,FALSE),"")</f>
        <v/>
      </c>
    </row>
    <row r="76" spans="1:111" ht="21">
      <c r="A76" s="1">
        <v>75</v>
      </c>
      <c r="B76" s="1" t="s">
        <v>239</v>
      </c>
      <c r="C76" s="1" t="s">
        <v>240</v>
      </c>
      <c r="D76" s="1" t="s">
        <v>222</v>
      </c>
      <c r="E76" s="6"/>
      <c r="F76" s="6"/>
      <c r="G76" s="6" t="s">
        <v>34</v>
      </c>
      <c r="H76" s="6"/>
      <c r="I76" s="4" t="str">
        <f>SUBSTITUTE(SUBSTITUTE(SUBSTITUTE(SUBSTITUTE(SUBSTITUTE(SUBSTITUTE(SUBSTITUTE(SUBSTITUTE(SUBSTITUTE(SUBSTITUTE(SUBSTITUTE(Q76,"{会社}",設定!$B$3),"{自分}",設定!$B$4),"{サービス}",設定!$B$5),"{料金}",設定!$B$7),"{日付1}",設定!$B$8),"{日付2}",設定!$B$9),"{時間1}",設定!$B$10),"{時間2}",設定!$B$11),"{時間}","（指定時間）"),"{日付確定}","（確定日）"),"{時間確定}","（確定時間）")</f>
        <v/>
      </c>
      <c r="J76" s="1" t="str">
        <f>IFERROR(VLOOKUP(P76,スクリプト_フロー!$A:$F,4,FALSE),"")</f>
        <v/>
      </c>
      <c r="K76" s="6" t="s">
        <v>35</v>
      </c>
      <c r="L76" s="6"/>
      <c r="M76" s="6"/>
      <c r="N76" s="6"/>
      <c r="O76" s="1"/>
      <c r="P76" s="1" t="str">
        <f t="shared" si="18"/>
        <v>①架電|</v>
      </c>
      <c r="Q76" s="1" t="str">
        <f>IFERROR(VLOOKUP(P76,スクリプト_フロー!$A:$F,5,FALSE),"")</f>
        <v/>
      </c>
      <c r="R76" s="6" t="str">
        <f t="shared" si="19"/>
        <v/>
      </c>
      <c r="S76" s="6"/>
      <c r="T76" s="4" t="str">
        <f>IF(DA76="","",SUBSTITUTE(SUBSTITUTE(SUBSTITUTE(SUBSTITUTE(SUBSTITUTE(SUBSTITUTE(SUBSTITUTE(SUBSTITUTE(SUBSTITUTE(SUBSTITUTE(SUBSTITUTE(DA76,"{会社}",設定!$B$3),"{自分}",設定!$B$4),"{サービス}",設定!$B$5),"{料金}",設定!$B$7),"{日付1}",設定!$B$8),"{日付2}",設定!$B$9),"{時間1}",設定!$B$10),"{時間2}",設定!$B$11),"{時間}","（指定時間）"),"{日付確定}","（確定日）"),"{時間確定}","（確定時間）"))</f>
        <v/>
      </c>
      <c r="U76" s="1" t="str">
        <f>IFERROR(VLOOKUP(CZ76,スクリプト_フロー!$A:$F,4,FALSE),"")</f>
        <v/>
      </c>
      <c r="V76" s="6" t="str">
        <f t="shared" si="20"/>
        <v/>
      </c>
      <c r="W76" s="6"/>
      <c r="X76" s="4" t="str">
        <f>IF(DC76="","",SUBSTITUTE(SUBSTITUTE(SUBSTITUTE(SUBSTITUTE(SUBSTITUTE(SUBSTITUTE(SUBSTITUTE(SUBSTITUTE(SUBSTITUTE(SUBSTITUTE(SUBSTITUTE(DC76,"{会社}",設定!$B$3),"{自分}",設定!$B$4),"{サービス}",設定!$B$5),"{料金}",設定!$B$7),"{日付1}",設定!$B$8),"{日付2}",設定!$B$9),"{時間1}",設定!$B$10),"{時間2}",設定!$B$11),"{時間}","（指定時間）"),"{日付確定}","（確定日）"),"{時間確定}","（確定時間）"))</f>
        <v/>
      </c>
      <c r="Y76" s="1" t="str">
        <f>IFERROR(VLOOKUP(DB76,スクリプト_フロー!$A:$F,4,FALSE),"")</f>
        <v/>
      </c>
      <c r="Z76" s="6" t="str">
        <f t="shared" si="21"/>
        <v/>
      </c>
      <c r="AA76" s="6"/>
      <c r="AB76" s="4" t="str">
        <f>IF(DE76="","",SUBSTITUTE(SUBSTITUTE(SUBSTITUTE(SUBSTITUTE(SUBSTITUTE(SUBSTITUTE(SUBSTITUTE(SUBSTITUTE(SUBSTITUTE(SUBSTITUTE(SUBSTITUTE(DE76,"{会社}",設定!$B$3),"{自分}",設定!$B$4),"{サービス}",設定!$B$5),"{料金}",設定!$B$7),"{日付1}",設定!$B$8),"{日付2}",設定!$B$9),"{時間1}",設定!$B$10),"{時間2}",設定!$B$11),"{時間}","（指定時間）"),"{日付確定}","（確定日）"),"{時間確定}","（確定時間）"))</f>
        <v/>
      </c>
      <c r="AC76" s="1" t="str">
        <f>IFERROR(VLOOKUP(DD76,スクリプト_フロー!$A:$F,4,FALSE),"")</f>
        <v/>
      </c>
      <c r="AD76" s="6" t="str">
        <f t="shared" si="22"/>
        <v/>
      </c>
      <c r="AE76" s="6"/>
      <c r="AF76" s="4" t="str">
        <f>IF(DG76="","",SUBSTITUTE(SUBSTITUTE(SUBSTITUTE(SUBSTITUTE(SUBSTITUTE(SUBSTITUTE(SUBSTITUTE(SUBSTITUTE(SUBSTITUTE(SUBSTITUTE(SUBSTITUTE(DG76,"{会社}",設定!$B$3),"{自分}",設定!$B$4),"{サービス}",設定!$B$5),"{料金}",設定!$B$7),"{日付1}",設定!$B$8),"{日付2}",設定!$B$9),"{時間1}",設定!$B$10),"{時間2}",設定!$B$11),"{時間}","（指定時間）"),"{日付確定}","（確定日）"),"{時間確定}","（確定時間）"))</f>
        <v/>
      </c>
      <c r="AG76" s="1" t="str">
        <f>IFERROR(VLOOKUP(DF76,スクリプト_フロー!$A:$F,4,FALSE),"")</f>
        <v/>
      </c>
      <c r="CZ76" s="1" t="str">
        <f t="shared" si="23"/>
        <v>|</v>
      </c>
      <c r="DA76" s="1" t="str">
        <f>IFERROR(VLOOKUP(CZ76,スクリプト_フロー!$A:$F,5,FALSE),"")</f>
        <v/>
      </c>
      <c r="DB76" s="1" t="str">
        <f t="shared" si="24"/>
        <v>|</v>
      </c>
      <c r="DC76" s="1" t="str">
        <f>IFERROR(VLOOKUP(DB76,スクリプト_フロー!$A:$F,5,FALSE),"")</f>
        <v/>
      </c>
      <c r="DD76" s="1" t="str">
        <f t="shared" si="25"/>
        <v>|</v>
      </c>
      <c r="DE76" s="1" t="str">
        <f>IFERROR(VLOOKUP(DD76,スクリプト_フロー!$A:$F,5,FALSE),"")</f>
        <v/>
      </c>
      <c r="DF76" s="1" t="str">
        <f t="shared" si="26"/>
        <v>|</v>
      </c>
      <c r="DG76" s="1" t="str">
        <f>IFERROR(VLOOKUP(DF76,スクリプト_フロー!$A:$F,5,FALSE),"")</f>
        <v/>
      </c>
    </row>
    <row r="77" spans="1:111" ht="21">
      <c r="A77" s="1">
        <v>76</v>
      </c>
      <c r="B77" s="1" t="s">
        <v>241</v>
      </c>
      <c r="C77" s="1" t="s">
        <v>102</v>
      </c>
      <c r="D77" s="1" t="s">
        <v>242</v>
      </c>
      <c r="E77" s="6"/>
      <c r="F77" s="6"/>
      <c r="G77" s="6" t="s">
        <v>34</v>
      </c>
      <c r="H77" s="6"/>
      <c r="I77" s="4" t="str">
        <f>SUBSTITUTE(SUBSTITUTE(SUBSTITUTE(SUBSTITUTE(SUBSTITUTE(SUBSTITUTE(SUBSTITUTE(SUBSTITUTE(SUBSTITUTE(SUBSTITUTE(SUBSTITUTE(Q77,"{会社}",設定!$B$3),"{自分}",設定!$B$4),"{サービス}",設定!$B$5),"{料金}",設定!$B$7),"{日付1}",設定!$B$8),"{日付2}",設定!$B$9),"{時間1}",設定!$B$10),"{時間2}",設定!$B$11),"{時間}","（指定時間）"),"{日付確定}","（確定日）"),"{時間確定}","（確定時間）")</f>
        <v/>
      </c>
      <c r="J77" s="1" t="str">
        <f>IFERROR(VLOOKUP(P77,スクリプト_フロー!$A:$F,4,FALSE),"")</f>
        <v/>
      </c>
      <c r="K77" s="6" t="s">
        <v>35</v>
      </c>
      <c r="L77" s="6"/>
      <c r="M77" s="6"/>
      <c r="N77" s="6"/>
      <c r="O77" s="1"/>
      <c r="P77" s="1" t="str">
        <f t="shared" si="18"/>
        <v>①架電|</v>
      </c>
      <c r="Q77" s="1" t="str">
        <f>IFERROR(VLOOKUP(P77,スクリプト_フロー!$A:$F,5,FALSE),"")</f>
        <v/>
      </c>
      <c r="R77" s="6" t="str">
        <f t="shared" si="19"/>
        <v/>
      </c>
      <c r="S77" s="6"/>
      <c r="T77" s="4" t="str">
        <f>IF(DA77="","",SUBSTITUTE(SUBSTITUTE(SUBSTITUTE(SUBSTITUTE(SUBSTITUTE(SUBSTITUTE(SUBSTITUTE(SUBSTITUTE(SUBSTITUTE(SUBSTITUTE(SUBSTITUTE(DA77,"{会社}",設定!$B$3),"{自分}",設定!$B$4),"{サービス}",設定!$B$5),"{料金}",設定!$B$7),"{日付1}",設定!$B$8),"{日付2}",設定!$B$9),"{時間1}",設定!$B$10),"{時間2}",設定!$B$11),"{時間}","（指定時間）"),"{日付確定}","（確定日）"),"{時間確定}","（確定時間）"))</f>
        <v/>
      </c>
      <c r="U77" s="1" t="str">
        <f>IFERROR(VLOOKUP(CZ77,スクリプト_フロー!$A:$F,4,FALSE),"")</f>
        <v/>
      </c>
      <c r="V77" s="6" t="str">
        <f t="shared" si="20"/>
        <v/>
      </c>
      <c r="W77" s="6"/>
      <c r="X77" s="4" t="str">
        <f>IF(DC77="","",SUBSTITUTE(SUBSTITUTE(SUBSTITUTE(SUBSTITUTE(SUBSTITUTE(SUBSTITUTE(SUBSTITUTE(SUBSTITUTE(SUBSTITUTE(SUBSTITUTE(SUBSTITUTE(DC77,"{会社}",設定!$B$3),"{自分}",設定!$B$4),"{サービス}",設定!$B$5),"{料金}",設定!$B$7),"{日付1}",設定!$B$8),"{日付2}",設定!$B$9),"{時間1}",設定!$B$10),"{時間2}",設定!$B$11),"{時間}","（指定時間）"),"{日付確定}","（確定日）"),"{時間確定}","（確定時間）"))</f>
        <v/>
      </c>
      <c r="Y77" s="1" t="str">
        <f>IFERROR(VLOOKUP(DB77,スクリプト_フロー!$A:$F,4,FALSE),"")</f>
        <v/>
      </c>
      <c r="Z77" s="6" t="str">
        <f t="shared" si="21"/>
        <v/>
      </c>
      <c r="AA77" s="6"/>
      <c r="AB77" s="4" t="str">
        <f>IF(DE77="","",SUBSTITUTE(SUBSTITUTE(SUBSTITUTE(SUBSTITUTE(SUBSTITUTE(SUBSTITUTE(SUBSTITUTE(SUBSTITUTE(SUBSTITUTE(SUBSTITUTE(SUBSTITUTE(DE77,"{会社}",設定!$B$3),"{自分}",設定!$B$4),"{サービス}",設定!$B$5),"{料金}",設定!$B$7),"{日付1}",設定!$B$8),"{日付2}",設定!$B$9),"{時間1}",設定!$B$10),"{時間2}",設定!$B$11),"{時間}","（指定時間）"),"{日付確定}","（確定日）"),"{時間確定}","（確定時間）"))</f>
        <v/>
      </c>
      <c r="AC77" s="1" t="str">
        <f>IFERROR(VLOOKUP(DD77,スクリプト_フロー!$A:$F,4,FALSE),"")</f>
        <v/>
      </c>
      <c r="AD77" s="6" t="str">
        <f t="shared" si="22"/>
        <v/>
      </c>
      <c r="AE77" s="6"/>
      <c r="AF77" s="4" t="str">
        <f>IF(DG77="","",SUBSTITUTE(SUBSTITUTE(SUBSTITUTE(SUBSTITUTE(SUBSTITUTE(SUBSTITUTE(SUBSTITUTE(SUBSTITUTE(SUBSTITUTE(SUBSTITUTE(SUBSTITUTE(DG77,"{会社}",設定!$B$3),"{自分}",設定!$B$4),"{サービス}",設定!$B$5),"{料金}",設定!$B$7),"{日付1}",設定!$B$8),"{日付2}",設定!$B$9),"{時間1}",設定!$B$10),"{時間2}",設定!$B$11),"{時間}","（指定時間）"),"{日付確定}","（確定日）"),"{時間確定}","（確定時間）"))</f>
        <v/>
      </c>
      <c r="AG77" s="1" t="str">
        <f>IFERROR(VLOOKUP(DF77,スクリプト_フロー!$A:$F,4,FALSE),"")</f>
        <v/>
      </c>
      <c r="CZ77" s="1" t="str">
        <f t="shared" si="23"/>
        <v>|</v>
      </c>
      <c r="DA77" s="1" t="str">
        <f>IFERROR(VLOOKUP(CZ77,スクリプト_フロー!$A:$F,5,FALSE),"")</f>
        <v/>
      </c>
      <c r="DB77" s="1" t="str">
        <f t="shared" si="24"/>
        <v>|</v>
      </c>
      <c r="DC77" s="1" t="str">
        <f>IFERROR(VLOOKUP(DB77,スクリプト_フロー!$A:$F,5,FALSE),"")</f>
        <v/>
      </c>
      <c r="DD77" s="1" t="str">
        <f t="shared" si="25"/>
        <v>|</v>
      </c>
      <c r="DE77" s="1" t="str">
        <f>IFERROR(VLOOKUP(DD77,スクリプト_フロー!$A:$F,5,FALSE),"")</f>
        <v/>
      </c>
      <c r="DF77" s="1" t="str">
        <f t="shared" si="26"/>
        <v>|</v>
      </c>
      <c r="DG77" s="1" t="str">
        <f>IFERROR(VLOOKUP(DF77,スクリプト_フロー!$A:$F,5,FALSE),"")</f>
        <v/>
      </c>
    </row>
    <row r="78" spans="1:111" ht="21">
      <c r="A78" s="1">
        <v>77</v>
      </c>
      <c r="B78" s="1" t="s">
        <v>243</v>
      </c>
      <c r="C78" s="1" t="s">
        <v>244</v>
      </c>
      <c r="D78" s="1" t="s">
        <v>242</v>
      </c>
      <c r="E78" s="6"/>
      <c r="F78" s="6"/>
      <c r="G78" s="6" t="s">
        <v>34</v>
      </c>
      <c r="H78" s="6"/>
      <c r="I78" s="4" t="str">
        <f>SUBSTITUTE(SUBSTITUTE(SUBSTITUTE(SUBSTITUTE(SUBSTITUTE(SUBSTITUTE(SUBSTITUTE(SUBSTITUTE(SUBSTITUTE(SUBSTITUTE(SUBSTITUTE(Q78,"{会社}",設定!$B$3),"{自分}",設定!$B$4),"{サービス}",設定!$B$5),"{料金}",設定!$B$7),"{日付1}",設定!$B$8),"{日付2}",設定!$B$9),"{時間1}",設定!$B$10),"{時間2}",設定!$B$11),"{時間}","（指定時間）"),"{日付確定}","（確定日）"),"{時間確定}","（確定時間）")</f>
        <v/>
      </c>
      <c r="J78" s="1" t="str">
        <f>IFERROR(VLOOKUP(P78,スクリプト_フロー!$A:$F,4,FALSE),"")</f>
        <v/>
      </c>
      <c r="K78" s="6" t="s">
        <v>35</v>
      </c>
      <c r="L78" s="6"/>
      <c r="M78" s="6"/>
      <c r="N78" s="6"/>
      <c r="O78" s="1"/>
      <c r="P78" s="1" t="str">
        <f t="shared" si="18"/>
        <v>①架電|</v>
      </c>
      <c r="Q78" s="1" t="str">
        <f>IFERROR(VLOOKUP(P78,スクリプト_フロー!$A:$F,5,FALSE),"")</f>
        <v/>
      </c>
      <c r="R78" s="6" t="str">
        <f t="shared" si="19"/>
        <v/>
      </c>
      <c r="S78" s="6"/>
      <c r="T78" s="4" t="str">
        <f>IF(DA78="","",SUBSTITUTE(SUBSTITUTE(SUBSTITUTE(SUBSTITUTE(SUBSTITUTE(SUBSTITUTE(SUBSTITUTE(SUBSTITUTE(SUBSTITUTE(SUBSTITUTE(SUBSTITUTE(DA78,"{会社}",設定!$B$3),"{自分}",設定!$B$4),"{サービス}",設定!$B$5),"{料金}",設定!$B$7),"{日付1}",設定!$B$8),"{日付2}",設定!$B$9),"{時間1}",設定!$B$10),"{時間2}",設定!$B$11),"{時間}","（指定時間）"),"{日付確定}","（確定日）"),"{時間確定}","（確定時間）"))</f>
        <v/>
      </c>
      <c r="U78" s="1" t="str">
        <f>IFERROR(VLOOKUP(CZ78,スクリプト_フロー!$A:$F,4,FALSE),"")</f>
        <v/>
      </c>
      <c r="V78" s="6" t="str">
        <f t="shared" si="20"/>
        <v/>
      </c>
      <c r="W78" s="6"/>
      <c r="X78" s="4" t="str">
        <f>IF(DC78="","",SUBSTITUTE(SUBSTITUTE(SUBSTITUTE(SUBSTITUTE(SUBSTITUTE(SUBSTITUTE(SUBSTITUTE(SUBSTITUTE(SUBSTITUTE(SUBSTITUTE(SUBSTITUTE(DC78,"{会社}",設定!$B$3),"{自分}",設定!$B$4),"{サービス}",設定!$B$5),"{料金}",設定!$B$7),"{日付1}",設定!$B$8),"{日付2}",設定!$B$9),"{時間1}",設定!$B$10),"{時間2}",設定!$B$11),"{時間}","（指定時間）"),"{日付確定}","（確定日）"),"{時間確定}","（確定時間）"))</f>
        <v/>
      </c>
      <c r="Y78" s="1" t="str">
        <f>IFERROR(VLOOKUP(DB78,スクリプト_フロー!$A:$F,4,FALSE),"")</f>
        <v/>
      </c>
      <c r="Z78" s="6" t="str">
        <f t="shared" si="21"/>
        <v/>
      </c>
      <c r="AA78" s="6"/>
      <c r="AB78" s="4" t="str">
        <f>IF(DE78="","",SUBSTITUTE(SUBSTITUTE(SUBSTITUTE(SUBSTITUTE(SUBSTITUTE(SUBSTITUTE(SUBSTITUTE(SUBSTITUTE(SUBSTITUTE(SUBSTITUTE(SUBSTITUTE(DE78,"{会社}",設定!$B$3),"{自分}",設定!$B$4),"{サービス}",設定!$B$5),"{料金}",設定!$B$7),"{日付1}",設定!$B$8),"{日付2}",設定!$B$9),"{時間1}",設定!$B$10),"{時間2}",設定!$B$11),"{時間}","（指定時間）"),"{日付確定}","（確定日）"),"{時間確定}","（確定時間）"))</f>
        <v/>
      </c>
      <c r="AC78" s="1" t="str">
        <f>IFERROR(VLOOKUP(DD78,スクリプト_フロー!$A:$F,4,FALSE),"")</f>
        <v/>
      </c>
      <c r="AD78" s="6" t="str">
        <f t="shared" si="22"/>
        <v/>
      </c>
      <c r="AE78" s="6"/>
      <c r="AF78" s="4" t="str">
        <f>IF(DG78="","",SUBSTITUTE(SUBSTITUTE(SUBSTITUTE(SUBSTITUTE(SUBSTITUTE(SUBSTITUTE(SUBSTITUTE(SUBSTITUTE(SUBSTITUTE(SUBSTITUTE(SUBSTITUTE(DG78,"{会社}",設定!$B$3),"{自分}",設定!$B$4),"{サービス}",設定!$B$5),"{料金}",設定!$B$7),"{日付1}",設定!$B$8),"{日付2}",設定!$B$9),"{時間1}",設定!$B$10),"{時間2}",設定!$B$11),"{時間}","（指定時間）"),"{日付確定}","（確定日）"),"{時間確定}","（確定時間）"))</f>
        <v/>
      </c>
      <c r="AG78" s="1" t="str">
        <f>IFERROR(VLOOKUP(DF78,スクリプト_フロー!$A:$F,4,FALSE),"")</f>
        <v/>
      </c>
      <c r="CZ78" s="1" t="str">
        <f t="shared" si="23"/>
        <v>|</v>
      </c>
      <c r="DA78" s="1" t="str">
        <f>IFERROR(VLOOKUP(CZ78,スクリプト_フロー!$A:$F,5,FALSE),"")</f>
        <v/>
      </c>
      <c r="DB78" s="1" t="str">
        <f t="shared" si="24"/>
        <v>|</v>
      </c>
      <c r="DC78" s="1" t="str">
        <f>IFERROR(VLOOKUP(DB78,スクリプト_フロー!$A:$F,5,FALSE),"")</f>
        <v/>
      </c>
      <c r="DD78" s="1" t="str">
        <f t="shared" si="25"/>
        <v>|</v>
      </c>
      <c r="DE78" s="1" t="str">
        <f>IFERROR(VLOOKUP(DD78,スクリプト_フロー!$A:$F,5,FALSE),"")</f>
        <v/>
      </c>
      <c r="DF78" s="1" t="str">
        <f t="shared" si="26"/>
        <v>|</v>
      </c>
      <c r="DG78" s="1" t="str">
        <f>IFERROR(VLOOKUP(DF78,スクリプト_フロー!$A:$F,5,FALSE),"")</f>
        <v/>
      </c>
    </row>
    <row r="79" spans="1:111" ht="21">
      <c r="A79" s="1">
        <v>78</v>
      </c>
      <c r="B79" s="1" t="s">
        <v>245</v>
      </c>
      <c r="C79" s="1" t="s">
        <v>246</v>
      </c>
      <c r="D79" s="1" t="s">
        <v>62</v>
      </c>
      <c r="E79" s="6"/>
      <c r="F79" s="6"/>
      <c r="G79" s="6" t="s">
        <v>34</v>
      </c>
      <c r="H79" s="6"/>
      <c r="I79" s="4" t="str">
        <f>SUBSTITUTE(SUBSTITUTE(SUBSTITUTE(SUBSTITUTE(SUBSTITUTE(SUBSTITUTE(SUBSTITUTE(SUBSTITUTE(SUBSTITUTE(SUBSTITUTE(SUBSTITUTE(Q79,"{会社}",設定!$B$3),"{自分}",設定!$B$4),"{サービス}",設定!$B$5),"{料金}",設定!$B$7),"{日付1}",設定!$B$8),"{日付2}",設定!$B$9),"{時間1}",設定!$B$10),"{時間2}",設定!$B$11),"{時間}","（指定時間）"),"{日付確定}","（確定日）"),"{時間確定}","（確定時間）")</f>
        <v/>
      </c>
      <c r="J79" s="1" t="str">
        <f>IFERROR(VLOOKUP(P79,スクリプト_フロー!$A:$F,4,FALSE),"")</f>
        <v/>
      </c>
      <c r="K79" s="6" t="s">
        <v>35</v>
      </c>
      <c r="L79" s="6"/>
      <c r="M79" s="6"/>
      <c r="N79" s="6"/>
      <c r="O79" s="1"/>
      <c r="P79" s="1" t="str">
        <f t="shared" si="18"/>
        <v>①架電|</v>
      </c>
      <c r="Q79" s="1" t="str">
        <f>IFERROR(VLOOKUP(P79,スクリプト_フロー!$A:$F,5,FALSE),"")</f>
        <v/>
      </c>
      <c r="R79" s="6" t="str">
        <f t="shared" si="19"/>
        <v/>
      </c>
      <c r="S79" s="6"/>
      <c r="T79" s="4" t="str">
        <f>IF(DA79="","",SUBSTITUTE(SUBSTITUTE(SUBSTITUTE(SUBSTITUTE(SUBSTITUTE(SUBSTITUTE(SUBSTITUTE(SUBSTITUTE(SUBSTITUTE(SUBSTITUTE(SUBSTITUTE(DA79,"{会社}",設定!$B$3),"{自分}",設定!$B$4),"{サービス}",設定!$B$5),"{料金}",設定!$B$7),"{日付1}",設定!$B$8),"{日付2}",設定!$B$9),"{時間1}",設定!$B$10),"{時間2}",設定!$B$11),"{時間}","（指定時間）"),"{日付確定}","（確定日）"),"{時間確定}","（確定時間）"))</f>
        <v/>
      </c>
      <c r="U79" s="1" t="str">
        <f>IFERROR(VLOOKUP(CZ79,スクリプト_フロー!$A:$F,4,FALSE),"")</f>
        <v/>
      </c>
      <c r="V79" s="6" t="str">
        <f t="shared" si="20"/>
        <v/>
      </c>
      <c r="W79" s="6"/>
      <c r="X79" s="4" t="str">
        <f>IF(DC79="","",SUBSTITUTE(SUBSTITUTE(SUBSTITUTE(SUBSTITUTE(SUBSTITUTE(SUBSTITUTE(SUBSTITUTE(SUBSTITUTE(SUBSTITUTE(SUBSTITUTE(SUBSTITUTE(DC79,"{会社}",設定!$B$3),"{自分}",設定!$B$4),"{サービス}",設定!$B$5),"{料金}",設定!$B$7),"{日付1}",設定!$B$8),"{日付2}",設定!$B$9),"{時間1}",設定!$B$10),"{時間2}",設定!$B$11),"{時間}","（指定時間）"),"{日付確定}","（確定日）"),"{時間確定}","（確定時間）"))</f>
        <v/>
      </c>
      <c r="Y79" s="1" t="str">
        <f>IFERROR(VLOOKUP(DB79,スクリプト_フロー!$A:$F,4,FALSE),"")</f>
        <v/>
      </c>
      <c r="Z79" s="6" t="str">
        <f t="shared" si="21"/>
        <v/>
      </c>
      <c r="AA79" s="6"/>
      <c r="AB79" s="4" t="str">
        <f>IF(DE79="","",SUBSTITUTE(SUBSTITUTE(SUBSTITUTE(SUBSTITUTE(SUBSTITUTE(SUBSTITUTE(SUBSTITUTE(SUBSTITUTE(SUBSTITUTE(SUBSTITUTE(SUBSTITUTE(DE79,"{会社}",設定!$B$3),"{自分}",設定!$B$4),"{サービス}",設定!$B$5),"{料金}",設定!$B$7),"{日付1}",設定!$B$8),"{日付2}",設定!$B$9),"{時間1}",設定!$B$10),"{時間2}",設定!$B$11),"{時間}","（指定時間）"),"{日付確定}","（確定日）"),"{時間確定}","（確定時間）"))</f>
        <v/>
      </c>
      <c r="AC79" s="1" t="str">
        <f>IFERROR(VLOOKUP(DD79,スクリプト_フロー!$A:$F,4,FALSE),"")</f>
        <v/>
      </c>
      <c r="AD79" s="6" t="str">
        <f t="shared" si="22"/>
        <v/>
      </c>
      <c r="AE79" s="6"/>
      <c r="AF79" s="4" t="str">
        <f>IF(DG79="","",SUBSTITUTE(SUBSTITUTE(SUBSTITUTE(SUBSTITUTE(SUBSTITUTE(SUBSTITUTE(SUBSTITUTE(SUBSTITUTE(SUBSTITUTE(SUBSTITUTE(SUBSTITUTE(DG79,"{会社}",設定!$B$3),"{自分}",設定!$B$4),"{サービス}",設定!$B$5),"{料金}",設定!$B$7),"{日付1}",設定!$B$8),"{日付2}",設定!$B$9),"{時間1}",設定!$B$10),"{時間2}",設定!$B$11),"{時間}","（指定時間）"),"{日付確定}","（確定日）"),"{時間確定}","（確定時間）"))</f>
        <v/>
      </c>
      <c r="AG79" s="1" t="str">
        <f>IFERROR(VLOOKUP(DF79,スクリプト_フロー!$A:$F,4,FALSE),"")</f>
        <v/>
      </c>
      <c r="CZ79" s="1" t="str">
        <f t="shared" si="23"/>
        <v>|</v>
      </c>
      <c r="DA79" s="1" t="str">
        <f>IFERROR(VLOOKUP(CZ79,スクリプト_フロー!$A:$F,5,FALSE),"")</f>
        <v/>
      </c>
      <c r="DB79" s="1" t="str">
        <f t="shared" si="24"/>
        <v>|</v>
      </c>
      <c r="DC79" s="1" t="str">
        <f>IFERROR(VLOOKUP(DB79,スクリプト_フロー!$A:$F,5,FALSE),"")</f>
        <v/>
      </c>
      <c r="DD79" s="1" t="str">
        <f t="shared" si="25"/>
        <v>|</v>
      </c>
      <c r="DE79" s="1" t="str">
        <f>IFERROR(VLOOKUP(DD79,スクリプト_フロー!$A:$F,5,FALSE),"")</f>
        <v/>
      </c>
      <c r="DF79" s="1" t="str">
        <f t="shared" si="26"/>
        <v>|</v>
      </c>
      <c r="DG79" s="1" t="str">
        <f>IFERROR(VLOOKUP(DF79,スクリプト_フロー!$A:$F,5,FALSE),"")</f>
        <v/>
      </c>
    </row>
    <row r="80" spans="1:111" ht="21">
      <c r="A80" s="1">
        <v>79</v>
      </c>
      <c r="B80" s="1" t="s">
        <v>247</v>
      </c>
      <c r="C80" s="1" t="s">
        <v>248</v>
      </c>
      <c r="D80" s="1" t="s">
        <v>62</v>
      </c>
      <c r="E80" s="6"/>
      <c r="F80" s="6"/>
      <c r="G80" s="6" t="s">
        <v>34</v>
      </c>
      <c r="H80" s="6"/>
      <c r="I80" s="4" t="str">
        <f>SUBSTITUTE(SUBSTITUTE(SUBSTITUTE(SUBSTITUTE(SUBSTITUTE(SUBSTITUTE(SUBSTITUTE(SUBSTITUTE(SUBSTITUTE(SUBSTITUTE(SUBSTITUTE(Q80,"{会社}",設定!$B$3),"{自分}",設定!$B$4),"{サービス}",設定!$B$5),"{料金}",設定!$B$7),"{日付1}",設定!$B$8),"{日付2}",設定!$B$9),"{時間1}",設定!$B$10),"{時間2}",設定!$B$11),"{時間}","（指定時間）"),"{日付確定}","（確定日）"),"{時間確定}","（確定時間）")</f>
        <v/>
      </c>
      <c r="J80" s="1" t="str">
        <f>IFERROR(VLOOKUP(P80,スクリプト_フロー!$A:$F,4,FALSE),"")</f>
        <v/>
      </c>
      <c r="K80" s="6" t="s">
        <v>35</v>
      </c>
      <c r="L80" s="6"/>
      <c r="M80" s="6"/>
      <c r="N80" s="6"/>
      <c r="O80" s="1"/>
      <c r="P80" s="1" t="str">
        <f t="shared" si="18"/>
        <v>①架電|</v>
      </c>
      <c r="Q80" s="1" t="str">
        <f>IFERROR(VLOOKUP(P80,スクリプト_フロー!$A:$F,5,FALSE),"")</f>
        <v/>
      </c>
      <c r="R80" s="6" t="str">
        <f t="shared" si="19"/>
        <v/>
      </c>
      <c r="S80" s="6"/>
      <c r="T80" s="4" t="str">
        <f>IF(DA80="","",SUBSTITUTE(SUBSTITUTE(SUBSTITUTE(SUBSTITUTE(SUBSTITUTE(SUBSTITUTE(SUBSTITUTE(SUBSTITUTE(SUBSTITUTE(SUBSTITUTE(SUBSTITUTE(DA80,"{会社}",設定!$B$3),"{自分}",設定!$B$4),"{サービス}",設定!$B$5),"{料金}",設定!$B$7),"{日付1}",設定!$B$8),"{日付2}",設定!$B$9),"{時間1}",設定!$B$10),"{時間2}",設定!$B$11),"{時間}","（指定時間）"),"{日付確定}","（確定日）"),"{時間確定}","（確定時間）"))</f>
        <v/>
      </c>
      <c r="U80" s="1" t="str">
        <f>IFERROR(VLOOKUP(CZ80,スクリプト_フロー!$A:$F,4,FALSE),"")</f>
        <v/>
      </c>
      <c r="V80" s="6" t="str">
        <f t="shared" si="20"/>
        <v/>
      </c>
      <c r="W80" s="6"/>
      <c r="X80" s="4" t="str">
        <f>IF(DC80="","",SUBSTITUTE(SUBSTITUTE(SUBSTITUTE(SUBSTITUTE(SUBSTITUTE(SUBSTITUTE(SUBSTITUTE(SUBSTITUTE(SUBSTITUTE(SUBSTITUTE(SUBSTITUTE(DC80,"{会社}",設定!$B$3),"{自分}",設定!$B$4),"{サービス}",設定!$B$5),"{料金}",設定!$B$7),"{日付1}",設定!$B$8),"{日付2}",設定!$B$9),"{時間1}",設定!$B$10),"{時間2}",設定!$B$11),"{時間}","（指定時間）"),"{日付確定}","（確定日）"),"{時間確定}","（確定時間）"))</f>
        <v/>
      </c>
      <c r="Y80" s="1" t="str">
        <f>IFERROR(VLOOKUP(DB80,スクリプト_フロー!$A:$F,4,FALSE),"")</f>
        <v/>
      </c>
      <c r="Z80" s="6" t="str">
        <f t="shared" si="21"/>
        <v/>
      </c>
      <c r="AA80" s="6"/>
      <c r="AB80" s="4" t="str">
        <f>IF(DE80="","",SUBSTITUTE(SUBSTITUTE(SUBSTITUTE(SUBSTITUTE(SUBSTITUTE(SUBSTITUTE(SUBSTITUTE(SUBSTITUTE(SUBSTITUTE(SUBSTITUTE(SUBSTITUTE(DE80,"{会社}",設定!$B$3),"{自分}",設定!$B$4),"{サービス}",設定!$B$5),"{料金}",設定!$B$7),"{日付1}",設定!$B$8),"{日付2}",設定!$B$9),"{時間1}",設定!$B$10),"{時間2}",設定!$B$11),"{時間}","（指定時間）"),"{日付確定}","（確定日）"),"{時間確定}","（確定時間）"))</f>
        <v/>
      </c>
      <c r="AC80" s="1" t="str">
        <f>IFERROR(VLOOKUP(DD80,スクリプト_フロー!$A:$F,4,FALSE),"")</f>
        <v/>
      </c>
      <c r="AD80" s="6" t="str">
        <f t="shared" si="22"/>
        <v/>
      </c>
      <c r="AE80" s="6"/>
      <c r="AF80" s="4" t="str">
        <f>IF(DG80="","",SUBSTITUTE(SUBSTITUTE(SUBSTITUTE(SUBSTITUTE(SUBSTITUTE(SUBSTITUTE(SUBSTITUTE(SUBSTITUTE(SUBSTITUTE(SUBSTITUTE(SUBSTITUTE(DG80,"{会社}",設定!$B$3),"{自分}",設定!$B$4),"{サービス}",設定!$B$5),"{料金}",設定!$B$7),"{日付1}",設定!$B$8),"{日付2}",設定!$B$9),"{時間1}",設定!$B$10),"{時間2}",設定!$B$11),"{時間}","（指定時間）"),"{日付確定}","（確定日）"),"{時間確定}","（確定時間）"))</f>
        <v/>
      </c>
      <c r="AG80" s="1" t="str">
        <f>IFERROR(VLOOKUP(DF80,スクリプト_フロー!$A:$F,4,FALSE),"")</f>
        <v/>
      </c>
      <c r="CZ80" s="1" t="str">
        <f t="shared" si="23"/>
        <v>|</v>
      </c>
      <c r="DA80" s="1" t="str">
        <f>IFERROR(VLOOKUP(CZ80,スクリプト_フロー!$A:$F,5,FALSE),"")</f>
        <v/>
      </c>
      <c r="DB80" s="1" t="str">
        <f t="shared" si="24"/>
        <v>|</v>
      </c>
      <c r="DC80" s="1" t="str">
        <f>IFERROR(VLOOKUP(DB80,スクリプト_フロー!$A:$F,5,FALSE),"")</f>
        <v/>
      </c>
      <c r="DD80" s="1" t="str">
        <f t="shared" si="25"/>
        <v>|</v>
      </c>
      <c r="DE80" s="1" t="str">
        <f>IFERROR(VLOOKUP(DD80,スクリプト_フロー!$A:$F,5,FALSE),"")</f>
        <v/>
      </c>
      <c r="DF80" s="1" t="str">
        <f t="shared" si="26"/>
        <v>|</v>
      </c>
      <c r="DG80" s="1" t="str">
        <f>IFERROR(VLOOKUP(DF80,スクリプト_フロー!$A:$F,5,FALSE),"")</f>
        <v/>
      </c>
    </row>
    <row r="81" spans="1:111" ht="21">
      <c r="A81" s="1">
        <v>80</v>
      </c>
      <c r="B81" s="1" t="s">
        <v>249</v>
      </c>
      <c r="C81" s="1" t="s">
        <v>250</v>
      </c>
      <c r="D81" s="1" t="s">
        <v>62</v>
      </c>
      <c r="E81" s="6"/>
      <c r="F81" s="6"/>
      <c r="G81" s="6" t="s">
        <v>34</v>
      </c>
      <c r="H81" s="6"/>
      <c r="I81" s="4" t="str">
        <f>SUBSTITUTE(SUBSTITUTE(SUBSTITUTE(SUBSTITUTE(SUBSTITUTE(SUBSTITUTE(SUBSTITUTE(SUBSTITUTE(SUBSTITUTE(SUBSTITUTE(SUBSTITUTE(Q81,"{会社}",設定!$B$3),"{自分}",設定!$B$4),"{サービス}",設定!$B$5),"{料金}",設定!$B$7),"{日付1}",設定!$B$8),"{日付2}",設定!$B$9),"{時間1}",設定!$B$10),"{時間2}",設定!$B$11),"{時間}","（指定時間）"),"{日付確定}","（確定日）"),"{時間確定}","（確定時間）")</f>
        <v/>
      </c>
      <c r="J81" s="1" t="str">
        <f>IFERROR(VLOOKUP(P81,スクリプト_フロー!$A:$F,4,FALSE),"")</f>
        <v/>
      </c>
      <c r="K81" s="6" t="s">
        <v>35</v>
      </c>
      <c r="L81" s="6"/>
      <c r="M81" s="6"/>
      <c r="N81" s="6"/>
      <c r="O81" s="1"/>
      <c r="P81" s="1" t="str">
        <f t="shared" si="18"/>
        <v>①架電|</v>
      </c>
      <c r="Q81" s="1" t="str">
        <f>IFERROR(VLOOKUP(P81,スクリプト_フロー!$A:$F,5,FALSE),"")</f>
        <v/>
      </c>
      <c r="R81" s="6" t="str">
        <f t="shared" si="19"/>
        <v/>
      </c>
      <c r="S81" s="6"/>
      <c r="T81" s="4" t="str">
        <f>IF(DA81="","",SUBSTITUTE(SUBSTITUTE(SUBSTITUTE(SUBSTITUTE(SUBSTITUTE(SUBSTITUTE(SUBSTITUTE(SUBSTITUTE(SUBSTITUTE(SUBSTITUTE(SUBSTITUTE(DA81,"{会社}",設定!$B$3),"{自分}",設定!$B$4),"{サービス}",設定!$B$5),"{料金}",設定!$B$7),"{日付1}",設定!$B$8),"{日付2}",設定!$B$9),"{時間1}",設定!$B$10),"{時間2}",設定!$B$11),"{時間}","（指定時間）"),"{日付確定}","（確定日）"),"{時間確定}","（確定時間）"))</f>
        <v/>
      </c>
      <c r="U81" s="1" t="str">
        <f>IFERROR(VLOOKUP(CZ81,スクリプト_フロー!$A:$F,4,FALSE),"")</f>
        <v/>
      </c>
      <c r="V81" s="6" t="str">
        <f t="shared" si="20"/>
        <v/>
      </c>
      <c r="W81" s="6"/>
      <c r="X81" s="4" t="str">
        <f>IF(DC81="","",SUBSTITUTE(SUBSTITUTE(SUBSTITUTE(SUBSTITUTE(SUBSTITUTE(SUBSTITUTE(SUBSTITUTE(SUBSTITUTE(SUBSTITUTE(SUBSTITUTE(SUBSTITUTE(DC81,"{会社}",設定!$B$3),"{自分}",設定!$B$4),"{サービス}",設定!$B$5),"{料金}",設定!$B$7),"{日付1}",設定!$B$8),"{日付2}",設定!$B$9),"{時間1}",設定!$B$10),"{時間2}",設定!$B$11),"{時間}","（指定時間）"),"{日付確定}","（確定日）"),"{時間確定}","（確定時間）"))</f>
        <v/>
      </c>
      <c r="Y81" s="1" t="str">
        <f>IFERROR(VLOOKUP(DB81,スクリプト_フロー!$A:$F,4,FALSE),"")</f>
        <v/>
      </c>
      <c r="Z81" s="6" t="str">
        <f t="shared" si="21"/>
        <v/>
      </c>
      <c r="AA81" s="6"/>
      <c r="AB81" s="4" t="str">
        <f>IF(DE81="","",SUBSTITUTE(SUBSTITUTE(SUBSTITUTE(SUBSTITUTE(SUBSTITUTE(SUBSTITUTE(SUBSTITUTE(SUBSTITUTE(SUBSTITUTE(SUBSTITUTE(SUBSTITUTE(DE81,"{会社}",設定!$B$3),"{自分}",設定!$B$4),"{サービス}",設定!$B$5),"{料金}",設定!$B$7),"{日付1}",設定!$B$8),"{日付2}",設定!$B$9),"{時間1}",設定!$B$10),"{時間2}",設定!$B$11),"{時間}","（指定時間）"),"{日付確定}","（確定日）"),"{時間確定}","（確定時間）"))</f>
        <v/>
      </c>
      <c r="AC81" s="1" t="str">
        <f>IFERROR(VLOOKUP(DD81,スクリプト_フロー!$A:$F,4,FALSE),"")</f>
        <v/>
      </c>
      <c r="AD81" s="6" t="str">
        <f t="shared" si="22"/>
        <v/>
      </c>
      <c r="AE81" s="6"/>
      <c r="AF81" s="4" t="str">
        <f>IF(DG81="","",SUBSTITUTE(SUBSTITUTE(SUBSTITUTE(SUBSTITUTE(SUBSTITUTE(SUBSTITUTE(SUBSTITUTE(SUBSTITUTE(SUBSTITUTE(SUBSTITUTE(SUBSTITUTE(DG81,"{会社}",設定!$B$3),"{自分}",設定!$B$4),"{サービス}",設定!$B$5),"{料金}",設定!$B$7),"{日付1}",設定!$B$8),"{日付2}",設定!$B$9),"{時間1}",設定!$B$10),"{時間2}",設定!$B$11),"{時間}","（指定時間）"),"{日付確定}","（確定日）"),"{時間確定}","（確定時間）"))</f>
        <v/>
      </c>
      <c r="AG81" s="1" t="str">
        <f>IFERROR(VLOOKUP(DF81,スクリプト_フロー!$A:$F,4,FALSE),"")</f>
        <v/>
      </c>
      <c r="CZ81" s="1" t="str">
        <f t="shared" si="23"/>
        <v>|</v>
      </c>
      <c r="DA81" s="1" t="str">
        <f>IFERROR(VLOOKUP(CZ81,スクリプト_フロー!$A:$F,5,FALSE),"")</f>
        <v/>
      </c>
      <c r="DB81" s="1" t="str">
        <f t="shared" si="24"/>
        <v>|</v>
      </c>
      <c r="DC81" s="1" t="str">
        <f>IFERROR(VLOOKUP(DB81,スクリプト_フロー!$A:$F,5,FALSE),"")</f>
        <v/>
      </c>
      <c r="DD81" s="1" t="str">
        <f t="shared" si="25"/>
        <v>|</v>
      </c>
      <c r="DE81" s="1" t="str">
        <f>IFERROR(VLOOKUP(DD81,スクリプト_フロー!$A:$F,5,FALSE),"")</f>
        <v/>
      </c>
      <c r="DF81" s="1" t="str">
        <f t="shared" si="26"/>
        <v>|</v>
      </c>
      <c r="DG81" s="1" t="str">
        <f>IFERROR(VLOOKUP(DF81,スクリプト_フロー!$A:$F,5,FALSE),"")</f>
        <v/>
      </c>
    </row>
    <row r="82" spans="1:111" ht="21">
      <c r="A82" s="1">
        <v>81</v>
      </c>
      <c r="B82" s="1" t="s">
        <v>251</v>
      </c>
      <c r="C82" s="1" t="s">
        <v>252</v>
      </c>
      <c r="D82" s="1" t="s">
        <v>62</v>
      </c>
      <c r="E82" s="6"/>
      <c r="F82" s="6"/>
      <c r="G82" s="6" t="s">
        <v>34</v>
      </c>
      <c r="H82" s="6"/>
      <c r="I82" s="4" t="str">
        <f>SUBSTITUTE(SUBSTITUTE(SUBSTITUTE(SUBSTITUTE(SUBSTITUTE(SUBSTITUTE(SUBSTITUTE(SUBSTITUTE(SUBSTITUTE(SUBSTITUTE(SUBSTITUTE(Q82,"{会社}",設定!$B$3),"{自分}",設定!$B$4),"{サービス}",設定!$B$5),"{料金}",設定!$B$7),"{日付1}",設定!$B$8),"{日付2}",設定!$B$9),"{時間1}",設定!$B$10),"{時間2}",設定!$B$11),"{時間}","（指定時間）"),"{日付確定}","（確定日）"),"{時間確定}","（確定時間）")</f>
        <v/>
      </c>
      <c r="J82" s="1" t="str">
        <f>IFERROR(VLOOKUP(P82,スクリプト_フロー!$A:$F,4,FALSE),"")</f>
        <v/>
      </c>
      <c r="K82" s="6" t="s">
        <v>35</v>
      </c>
      <c r="L82" s="6"/>
      <c r="M82" s="6"/>
      <c r="N82" s="6"/>
      <c r="O82" s="1"/>
      <c r="P82" s="1" t="str">
        <f t="shared" si="18"/>
        <v>①架電|</v>
      </c>
      <c r="Q82" s="1" t="str">
        <f>IFERROR(VLOOKUP(P82,スクリプト_フロー!$A:$F,5,FALSE),"")</f>
        <v/>
      </c>
      <c r="R82" s="6" t="str">
        <f t="shared" si="19"/>
        <v/>
      </c>
      <c r="S82" s="6"/>
      <c r="T82" s="4" t="str">
        <f>IF(DA82="","",SUBSTITUTE(SUBSTITUTE(SUBSTITUTE(SUBSTITUTE(SUBSTITUTE(SUBSTITUTE(SUBSTITUTE(SUBSTITUTE(SUBSTITUTE(SUBSTITUTE(SUBSTITUTE(DA82,"{会社}",設定!$B$3),"{自分}",設定!$B$4),"{サービス}",設定!$B$5),"{料金}",設定!$B$7),"{日付1}",設定!$B$8),"{日付2}",設定!$B$9),"{時間1}",設定!$B$10),"{時間2}",設定!$B$11),"{時間}","（指定時間）"),"{日付確定}","（確定日）"),"{時間確定}","（確定時間）"))</f>
        <v/>
      </c>
      <c r="U82" s="1" t="str">
        <f>IFERROR(VLOOKUP(CZ82,スクリプト_フロー!$A:$F,4,FALSE),"")</f>
        <v/>
      </c>
      <c r="V82" s="6" t="str">
        <f t="shared" si="20"/>
        <v/>
      </c>
      <c r="W82" s="6"/>
      <c r="X82" s="4" t="str">
        <f>IF(DC82="","",SUBSTITUTE(SUBSTITUTE(SUBSTITUTE(SUBSTITUTE(SUBSTITUTE(SUBSTITUTE(SUBSTITUTE(SUBSTITUTE(SUBSTITUTE(SUBSTITUTE(SUBSTITUTE(DC82,"{会社}",設定!$B$3),"{自分}",設定!$B$4),"{サービス}",設定!$B$5),"{料金}",設定!$B$7),"{日付1}",設定!$B$8),"{日付2}",設定!$B$9),"{時間1}",設定!$B$10),"{時間2}",設定!$B$11),"{時間}","（指定時間）"),"{日付確定}","（確定日）"),"{時間確定}","（確定時間）"))</f>
        <v/>
      </c>
      <c r="Y82" s="1" t="str">
        <f>IFERROR(VLOOKUP(DB82,スクリプト_フロー!$A:$F,4,FALSE),"")</f>
        <v/>
      </c>
      <c r="Z82" s="6" t="str">
        <f t="shared" si="21"/>
        <v/>
      </c>
      <c r="AA82" s="6"/>
      <c r="AB82" s="4" t="str">
        <f>IF(DE82="","",SUBSTITUTE(SUBSTITUTE(SUBSTITUTE(SUBSTITUTE(SUBSTITUTE(SUBSTITUTE(SUBSTITUTE(SUBSTITUTE(SUBSTITUTE(SUBSTITUTE(SUBSTITUTE(DE82,"{会社}",設定!$B$3),"{自分}",設定!$B$4),"{サービス}",設定!$B$5),"{料金}",設定!$B$7),"{日付1}",設定!$B$8),"{日付2}",設定!$B$9),"{時間1}",設定!$B$10),"{時間2}",設定!$B$11),"{時間}","（指定時間）"),"{日付確定}","（確定日）"),"{時間確定}","（確定時間）"))</f>
        <v/>
      </c>
      <c r="AC82" s="1" t="str">
        <f>IFERROR(VLOOKUP(DD82,スクリプト_フロー!$A:$F,4,FALSE),"")</f>
        <v/>
      </c>
      <c r="AD82" s="6" t="str">
        <f t="shared" si="22"/>
        <v/>
      </c>
      <c r="AE82" s="6"/>
      <c r="AF82" s="4" t="str">
        <f>IF(DG82="","",SUBSTITUTE(SUBSTITUTE(SUBSTITUTE(SUBSTITUTE(SUBSTITUTE(SUBSTITUTE(SUBSTITUTE(SUBSTITUTE(SUBSTITUTE(SUBSTITUTE(SUBSTITUTE(DG82,"{会社}",設定!$B$3),"{自分}",設定!$B$4),"{サービス}",設定!$B$5),"{料金}",設定!$B$7),"{日付1}",設定!$B$8),"{日付2}",設定!$B$9),"{時間1}",設定!$B$10),"{時間2}",設定!$B$11),"{時間}","（指定時間）"),"{日付確定}","（確定日）"),"{時間確定}","（確定時間）"))</f>
        <v/>
      </c>
      <c r="AG82" s="1" t="str">
        <f>IFERROR(VLOOKUP(DF82,スクリプト_フロー!$A:$F,4,FALSE),"")</f>
        <v/>
      </c>
      <c r="CZ82" s="1" t="str">
        <f t="shared" si="23"/>
        <v>|</v>
      </c>
      <c r="DA82" s="1" t="str">
        <f>IFERROR(VLOOKUP(CZ82,スクリプト_フロー!$A:$F,5,FALSE),"")</f>
        <v/>
      </c>
      <c r="DB82" s="1" t="str">
        <f t="shared" si="24"/>
        <v>|</v>
      </c>
      <c r="DC82" s="1" t="str">
        <f>IFERROR(VLOOKUP(DB82,スクリプト_フロー!$A:$F,5,FALSE),"")</f>
        <v/>
      </c>
      <c r="DD82" s="1" t="str">
        <f t="shared" si="25"/>
        <v>|</v>
      </c>
      <c r="DE82" s="1" t="str">
        <f>IFERROR(VLOOKUP(DD82,スクリプト_フロー!$A:$F,5,FALSE),"")</f>
        <v/>
      </c>
      <c r="DF82" s="1" t="str">
        <f t="shared" si="26"/>
        <v>|</v>
      </c>
      <c r="DG82" s="1" t="str">
        <f>IFERROR(VLOOKUP(DF82,スクリプト_フロー!$A:$F,5,FALSE),"")</f>
        <v/>
      </c>
    </row>
    <row r="83" spans="1:111" ht="21">
      <c r="A83" s="1">
        <v>82</v>
      </c>
      <c r="B83" s="1" t="s">
        <v>253</v>
      </c>
      <c r="C83" s="1" t="s">
        <v>254</v>
      </c>
      <c r="D83" s="1" t="s">
        <v>62</v>
      </c>
      <c r="E83" s="6"/>
      <c r="F83" s="6"/>
      <c r="G83" s="6" t="s">
        <v>34</v>
      </c>
      <c r="H83" s="6"/>
      <c r="I83" s="4" t="str">
        <f>SUBSTITUTE(SUBSTITUTE(SUBSTITUTE(SUBSTITUTE(SUBSTITUTE(SUBSTITUTE(SUBSTITUTE(SUBSTITUTE(SUBSTITUTE(SUBSTITUTE(SUBSTITUTE(Q83,"{会社}",設定!$B$3),"{自分}",設定!$B$4),"{サービス}",設定!$B$5),"{料金}",設定!$B$7),"{日付1}",設定!$B$8),"{日付2}",設定!$B$9),"{時間1}",設定!$B$10),"{時間2}",設定!$B$11),"{時間}","（指定時間）"),"{日付確定}","（確定日）"),"{時間確定}","（確定時間）")</f>
        <v/>
      </c>
      <c r="J83" s="1" t="str">
        <f>IFERROR(VLOOKUP(P83,スクリプト_フロー!$A:$F,4,FALSE),"")</f>
        <v/>
      </c>
      <c r="K83" s="6" t="s">
        <v>35</v>
      </c>
      <c r="L83" s="6"/>
      <c r="M83" s="6"/>
      <c r="N83" s="6"/>
      <c r="O83" s="1"/>
      <c r="P83" s="1" t="str">
        <f t="shared" si="18"/>
        <v>①架電|</v>
      </c>
      <c r="Q83" s="1" t="str">
        <f>IFERROR(VLOOKUP(P83,スクリプト_フロー!$A:$F,5,FALSE),"")</f>
        <v/>
      </c>
      <c r="R83" s="6" t="str">
        <f t="shared" si="19"/>
        <v/>
      </c>
      <c r="S83" s="6"/>
      <c r="T83" s="4" t="str">
        <f>IF(DA83="","",SUBSTITUTE(SUBSTITUTE(SUBSTITUTE(SUBSTITUTE(SUBSTITUTE(SUBSTITUTE(SUBSTITUTE(SUBSTITUTE(SUBSTITUTE(SUBSTITUTE(SUBSTITUTE(DA83,"{会社}",設定!$B$3),"{自分}",設定!$B$4),"{サービス}",設定!$B$5),"{料金}",設定!$B$7),"{日付1}",設定!$B$8),"{日付2}",設定!$B$9),"{時間1}",設定!$B$10),"{時間2}",設定!$B$11),"{時間}","（指定時間）"),"{日付確定}","（確定日）"),"{時間確定}","（確定時間）"))</f>
        <v/>
      </c>
      <c r="U83" s="1" t="str">
        <f>IFERROR(VLOOKUP(CZ83,スクリプト_フロー!$A:$F,4,FALSE),"")</f>
        <v/>
      </c>
      <c r="V83" s="6" t="str">
        <f t="shared" si="20"/>
        <v/>
      </c>
      <c r="W83" s="6"/>
      <c r="X83" s="4" t="str">
        <f>IF(DC83="","",SUBSTITUTE(SUBSTITUTE(SUBSTITUTE(SUBSTITUTE(SUBSTITUTE(SUBSTITUTE(SUBSTITUTE(SUBSTITUTE(SUBSTITUTE(SUBSTITUTE(SUBSTITUTE(DC83,"{会社}",設定!$B$3),"{自分}",設定!$B$4),"{サービス}",設定!$B$5),"{料金}",設定!$B$7),"{日付1}",設定!$B$8),"{日付2}",設定!$B$9),"{時間1}",設定!$B$10),"{時間2}",設定!$B$11),"{時間}","（指定時間）"),"{日付確定}","（確定日）"),"{時間確定}","（確定時間）"))</f>
        <v/>
      </c>
      <c r="Y83" s="1" t="str">
        <f>IFERROR(VLOOKUP(DB83,スクリプト_フロー!$A:$F,4,FALSE),"")</f>
        <v/>
      </c>
      <c r="Z83" s="6" t="str">
        <f t="shared" si="21"/>
        <v/>
      </c>
      <c r="AA83" s="6"/>
      <c r="AB83" s="4" t="str">
        <f>IF(DE83="","",SUBSTITUTE(SUBSTITUTE(SUBSTITUTE(SUBSTITUTE(SUBSTITUTE(SUBSTITUTE(SUBSTITUTE(SUBSTITUTE(SUBSTITUTE(SUBSTITUTE(SUBSTITUTE(DE83,"{会社}",設定!$B$3),"{自分}",設定!$B$4),"{サービス}",設定!$B$5),"{料金}",設定!$B$7),"{日付1}",設定!$B$8),"{日付2}",設定!$B$9),"{時間1}",設定!$B$10),"{時間2}",設定!$B$11),"{時間}","（指定時間）"),"{日付確定}","（確定日）"),"{時間確定}","（確定時間）"))</f>
        <v/>
      </c>
      <c r="AC83" s="1" t="str">
        <f>IFERROR(VLOOKUP(DD83,スクリプト_フロー!$A:$F,4,FALSE),"")</f>
        <v/>
      </c>
      <c r="AD83" s="6" t="str">
        <f t="shared" si="22"/>
        <v/>
      </c>
      <c r="AE83" s="6"/>
      <c r="AF83" s="4" t="str">
        <f>IF(DG83="","",SUBSTITUTE(SUBSTITUTE(SUBSTITUTE(SUBSTITUTE(SUBSTITUTE(SUBSTITUTE(SUBSTITUTE(SUBSTITUTE(SUBSTITUTE(SUBSTITUTE(SUBSTITUTE(DG83,"{会社}",設定!$B$3),"{自分}",設定!$B$4),"{サービス}",設定!$B$5),"{料金}",設定!$B$7),"{日付1}",設定!$B$8),"{日付2}",設定!$B$9),"{時間1}",設定!$B$10),"{時間2}",設定!$B$11),"{時間}","（指定時間）"),"{日付確定}","（確定日）"),"{時間確定}","（確定時間）"))</f>
        <v/>
      </c>
      <c r="AG83" s="1" t="str">
        <f>IFERROR(VLOOKUP(DF83,スクリプト_フロー!$A:$F,4,FALSE),"")</f>
        <v/>
      </c>
      <c r="CZ83" s="1" t="str">
        <f t="shared" si="23"/>
        <v>|</v>
      </c>
      <c r="DA83" s="1" t="str">
        <f>IFERROR(VLOOKUP(CZ83,スクリプト_フロー!$A:$F,5,FALSE),"")</f>
        <v/>
      </c>
      <c r="DB83" s="1" t="str">
        <f t="shared" si="24"/>
        <v>|</v>
      </c>
      <c r="DC83" s="1" t="str">
        <f>IFERROR(VLOOKUP(DB83,スクリプト_フロー!$A:$F,5,FALSE),"")</f>
        <v/>
      </c>
      <c r="DD83" s="1" t="str">
        <f t="shared" si="25"/>
        <v>|</v>
      </c>
      <c r="DE83" s="1" t="str">
        <f>IFERROR(VLOOKUP(DD83,スクリプト_フロー!$A:$F,5,FALSE),"")</f>
        <v/>
      </c>
      <c r="DF83" s="1" t="str">
        <f t="shared" si="26"/>
        <v>|</v>
      </c>
      <c r="DG83" s="1" t="str">
        <f>IFERROR(VLOOKUP(DF83,スクリプト_フロー!$A:$F,5,FALSE),"")</f>
        <v/>
      </c>
    </row>
    <row r="84" spans="1:111" ht="21">
      <c r="A84" s="1">
        <v>83</v>
      </c>
      <c r="B84" s="1" t="s">
        <v>255</v>
      </c>
      <c r="C84" s="1" t="s">
        <v>256</v>
      </c>
      <c r="D84" s="1" t="s">
        <v>62</v>
      </c>
      <c r="E84" s="6"/>
      <c r="F84" s="6"/>
      <c r="G84" s="6" t="s">
        <v>34</v>
      </c>
      <c r="H84" s="6"/>
      <c r="I84" s="4" t="str">
        <f>SUBSTITUTE(SUBSTITUTE(SUBSTITUTE(SUBSTITUTE(SUBSTITUTE(SUBSTITUTE(SUBSTITUTE(SUBSTITUTE(SUBSTITUTE(SUBSTITUTE(SUBSTITUTE(Q84,"{会社}",設定!$B$3),"{自分}",設定!$B$4),"{サービス}",設定!$B$5),"{料金}",設定!$B$7),"{日付1}",設定!$B$8),"{日付2}",設定!$B$9),"{時間1}",設定!$B$10),"{時間2}",設定!$B$11),"{時間}","（指定時間）"),"{日付確定}","（確定日）"),"{時間確定}","（確定時間）")</f>
        <v/>
      </c>
      <c r="J84" s="1" t="str">
        <f>IFERROR(VLOOKUP(P84,スクリプト_フロー!$A:$F,4,FALSE),"")</f>
        <v/>
      </c>
      <c r="K84" s="6" t="s">
        <v>35</v>
      </c>
      <c r="L84" s="6"/>
      <c r="M84" s="6"/>
      <c r="N84" s="6"/>
      <c r="O84" s="1"/>
      <c r="P84" s="1" t="str">
        <f t="shared" si="18"/>
        <v>①架電|</v>
      </c>
      <c r="Q84" s="1" t="str">
        <f>IFERROR(VLOOKUP(P84,スクリプト_フロー!$A:$F,5,FALSE),"")</f>
        <v/>
      </c>
      <c r="R84" s="6" t="str">
        <f t="shared" si="19"/>
        <v/>
      </c>
      <c r="S84" s="6"/>
      <c r="T84" s="4" t="str">
        <f>IF(DA84="","",SUBSTITUTE(SUBSTITUTE(SUBSTITUTE(SUBSTITUTE(SUBSTITUTE(SUBSTITUTE(SUBSTITUTE(SUBSTITUTE(SUBSTITUTE(SUBSTITUTE(SUBSTITUTE(DA84,"{会社}",設定!$B$3),"{自分}",設定!$B$4),"{サービス}",設定!$B$5),"{料金}",設定!$B$7),"{日付1}",設定!$B$8),"{日付2}",設定!$B$9),"{時間1}",設定!$B$10),"{時間2}",設定!$B$11),"{時間}","（指定時間）"),"{日付確定}","（確定日）"),"{時間確定}","（確定時間）"))</f>
        <v/>
      </c>
      <c r="U84" s="1" t="str">
        <f>IFERROR(VLOOKUP(CZ84,スクリプト_フロー!$A:$F,4,FALSE),"")</f>
        <v/>
      </c>
      <c r="V84" s="6" t="str">
        <f t="shared" si="20"/>
        <v/>
      </c>
      <c r="W84" s="6"/>
      <c r="X84" s="4" t="str">
        <f>IF(DC84="","",SUBSTITUTE(SUBSTITUTE(SUBSTITUTE(SUBSTITUTE(SUBSTITUTE(SUBSTITUTE(SUBSTITUTE(SUBSTITUTE(SUBSTITUTE(SUBSTITUTE(SUBSTITUTE(DC84,"{会社}",設定!$B$3),"{自分}",設定!$B$4),"{サービス}",設定!$B$5),"{料金}",設定!$B$7),"{日付1}",設定!$B$8),"{日付2}",設定!$B$9),"{時間1}",設定!$B$10),"{時間2}",設定!$B$11),"{時間}","（指定時間）"),"{日付確定}","（確定日）"),"{時間確定}","（確定時間）"))</f>
        <v/>
      </c>
      <c r="Y84" s="1" t="str">
        <f>IFERROR(VLOOKUP(DB84,スクリプト_フロー!$A:$F,4,FALSE),"")</f>
        <v/>
      </c>
      <c r="Z84" s="6" t="str">
        <f t="shared" si="21"/>
        <v/>
      </c>
      <c r="AA84" s="6"/>
      <c r="AB84" s="4" t="str">
        <f>IF(DE84="","",SUBSTITUTE(SUBSTITUTE(SUBSTITUTE(SUBSTITUTE(SUBSTITUTE(SUBSTITUTE(SUBSTITUTE(SUBSTITUTE(SUBSTITUTE(SUBSTITUTE(SUBSTITUTE(DE84,"{会社}",設定!$B$3),"{自分}",設定!$B$4),"{サービス}",設定!$B$5),"{料金}",設定!$B$7),"{日付1}",設定!$B$8),"{日付2}",設定!$B$9),"{時間1}",設定!$B$10),"{時間2}",設定!$B$11),"{時間}","（指定時間）"),"{日付確定}","（確定日）"),"{時間確定}","（確定時間）"))</f>
        <v/>
      </c>
      <c r="AC84" s="1" t="str">
        <f>IFERROR(VLOOKUP(DD84,スクリプト_フロー!$A:$F,4,FALSE),"")</f>
        <v/>
      </c>
      <c r="AD84" s="6" t="str">
        <f t="shared" si="22"/>
        <v/>
      </c>
      <c r="AE84" s="6"/>
      <c r="AF84" s="4" t="str">
        <f>IF(DG84="","",SUBSTITUTE(SUBSTITUTE(SUBSTITUTE(SUBSTITUTE(SUBSTITUTE(SUBSTITUTE(SUBSTITUTE(SUBSTITUTE(SUBSTITUTE(SUBSTITUTE(SUBSTITUTE(DG84,"{会社}",設定!$B$3),"{自分}",設定!$B$4),"{サービス}",設定!$B$5),"{料金}",設定!$B$7),"{日付1}",設定!$B$8),"{日付2}",設定!$B$9),"{時間1}",設定!$B$10),"{時間2}",設定!$B$11),"{時間}","（指定時間）"),"{日付確定}","（確定日）"),"{時間確定}","（確定時間）"))</f>
        <v/>
      </c>
      <c r="AG84" s="1" t="str">
        <f>IFERROR(VLOOKUP(DF84,スクリプト_フロー!$A:$F,4,FALSE),"")</f>
        <v/>
      </c>
      <c r="CZ84" s="1" t="str">
        <f t="shared" si="23"/>
        <v>|</v>
      </c>
      <c r="DA84" s="1" t="str">
        <f>IFERROR(VLOOKUP(CZ84,スクリプト_フロー!$A:$F,5,FALSE),"")</f>
        <v/>
      </c>
      <c r="DB84" s="1" t="str">
        <f t="shared" si="24"/>
        <v>|</v>
      </c>
      <c r="DC84" s="1" t="str">
        <f>IFERROR(VLOOKUP(DB84,スクリプト_フロー!$A:$F,5,FALSE),"")</f>
        <v/>
      </c>
      <c r="DD84" s="1" t="str">
        <f t="shared" si="25"/>
        <v>|</v>
      </c>
      <c r="DE84" s="1" t="str">
        <f>IFERROR(VLOOKUP(DD84,スクリプト_フロー!$A:$F,5,FALSE),"")</f>
        <v/>
      </c>
      <c r="DF84" s="1" t="str">
        <f t="shared" si="26"/>
        <v>|</v>
      </c>
      <c r="DG84" s="1" t="str">
        <f>IFERROR(VLOOKUP(DF84,スクリプト_フロー!$A:$F,5,FALSE),"")</f>
        <v/>
      </c>
    </row>
    <row r="85" spans="1:111" ht="21">
      <c r="A85" s="1">
        <v>84</v>
      </c>
      <c r="B85" s="1" t="s">
        <v>257</v>
      </c>
      <c r="C85" s="1" t="s">
        <v>258</v>
      </c>
      <c r="D85" s="1" t="s">
        <v>62</v>
      </c>
      <c r="E85" s="6"/>
      <c r="F85" s="6"/>
      <c r="G85" s="6" t="s">
        <v>34</v>
      </c>
      <c r="H85" s="6"/>
      <c r="I85" s="4" t="str">
        <f>SUBSTITUTE(SUBSTITUTE(SUBSTITUTE(SUBSTITUTE(SUBSTITUTE(SUBSTITUTE(SUBSTITUTE(SUBSTITUTE(SUBSTITUTE(SUBSTITUTE(SUBSTITUTE(Q85,"{会社}",設定!$B$3),"{自分}",設定!$B$4),"{サービス}",設定!$B$5),"{料金}",設定!$B$7),"{日付1}",設定!$B$8),"{日付2}",設定!$B$9),"{時間1}",設定!$B$10),"{時間2}",設定!$B$11),"{時間}","（指定時間）"),"{日付確定}","（確定日）"),"{時間確定}","（確定時間）")</f>
        <v/>
      </c>
      <c r="J85" s="1" t="str">
        <f>IFERROR(VLOOKUP(P85,スクリプト_フロー!$A:$F,4,FALSE),"")</f>
        <v/>
      </c>
      <c r="K85" s="6" t="s">
        <v>35</v>
      </c>
      <c r="L85" s="6"/>
      <c r="M85" s="6"/>
      <c r="N85" s="6"/>
      <c r="O85" s="1"/>
      <c r="P85" s="1" t="str">
        <f t="shared" si="18"/>
        <v>①架電|</v>
      </c>
      <c r="Q85" s="1" t="str">
        <f>IFERROR(VLOOKUP(P85,スクリプト_フロー!$A:$F,5,FALSE),"")</f>
        <v/>
      </c>
      <c r="R85" s="6" t="str">
        <f t="shared" si="19"/>
        <v/>
      </c>
      <c r="S85" s="6"/>
      <c r="T85" s="4" t="str">
        <f>IF(DA85="","",SUBSTITUTE(SUBSTITUTE(SUBSTITUTE(SUBSTITUTE(SUBSTITUTE(SUBSTITUTE(SUBSTITUTE(SUBSTITUTE(SUBSTITUTE(SUBSTITUTE(SUBSTITUTE(DA85,"{会社}",設定!$B$3),"{自分}",設定!$B$4),"{サービス}",設定!$B$5),"{料金}",設定!$B$7),"{日付1}",設定!$B$8),"{日付2}",設定!$B$9),"{時間1}",設定!$B$10),"{時間2}",設定!$B$11),"{時間}","（指定時間）"),"{日付確定}","（確定日）"),"{時間確定}","（確定時間）"))</f>
        <v/>
      </c>
      <c r="U85" s="1" t="str">
        <f>IFERROR(VLOOKUP(CZ85,スクリプト_フロー!$A:$F,4,FALSE),"")</f>
        <v/>
      </c>
      <c r="V85" s="6" t="str">
        <f t="shared" si="20"/>
        <v/>
      </c>
      <c r="W85" s="6"/>
      <c r="X85" s="4" t="str">
        <f>IF(DC85="","",SUBSTITUTE(SUBSTITUTE(SUBSTITUTE(SUBSTITUTE(SUBSTITUTE(SUBSTITUTE(SUBSTITUTE(SUBSTITUTE(SUBSTITUTE(SUBSTITUTE(SUBSTITUTE(DC85,"{会社}",設定!$B$3),"{自分}",設定!$B$4),"{サービス}",設定!$B$5),"{料金}",設定!$B$7),"{日付1}",設定!$B$8),"{日付2}",設定!$B$9),"{時間1}",設定!$B$10),"{時間2}",設定!$B$11),"{時間}","（指定時間）"),"{日付確定}","（確定日）"),"{時間確定}","（確定時間）"))</f>
        <v/>
      </c>
      <c r="Y85" s="1" t="str">
        <f>IFERROR(VLOOKUP(DB85,スクリプト_フロー!$A:$F,4,FALSE),"")</f>
        <v/>
      </c>
      <c r="Z85" s="6" t="str">
        <f t="shared" si="21"/>
        <v/>
      </c>
      <c r="AA85" s="6"/>
      <c r="AB85" s="4" t="str">
        <f>IF(DE85="","",SUBSTITUTE(SUBSTITUTE(SUBSTITUTE(SUBSTITUTE(SUBSTITUTE(SUBSTITUTE(SUBSTITUTE(SUBSTITUTE(SUBSTITUTE(SUBSTITUTE(SUBSTITUTE(DE85,"{会社}",設定!$B$3),"{自分}",設定!$B$4),"{サービス}",設定!$B$5),"{料金}",設定!$B$7),"{日付1}",設定!$B$8),"{日付2}",設定!$B$9),"{時間1}",設定!$B$10),"{時間2}",設定!$B$11),"{時間}","（指定時間）"),"{日付確定}","（確定日）"),"{時間確定}","（確定時間）"))</f>
        <v/>
      </c>
      <c r="AC85" s="1" t="str">
        <f>IFERROR(VLOOKUP(DD85,スクリプト_フロー!$A:$F,4,FALSE),"")</f>
        <v/>
      </c>
      <c r="AD85" s="6" t="str">
        <f t="shared" si="22"/>
        <v/>
      </c>
      <c r="AE85" s="6"/>
      <c r="AF85" s="4" t="str">
        <f>IF(DG85="","",SUBSTITUTE(SUBSTITUTE(SUBSTITUTE(SUBSTITUTE(SUBSTITUTE(SUBSTITUTE(SUBSTITUTE(SUBSTITUTE(SUBSTITUTE(SUBSTITUTE(SUBSTITUTE(DG85,"{会社}",設定!$B$3),"{自分}",設定!$B$4),"{サービス}",設定!$B$5),"{料金}",設定!$B$7),"{日付1}",設定!$B$8),"{日付2}",設定!$B$9),"{時間1}",設定!$B$10),"{時間2}",設定!$B$11),"{時間}","（指定時間）"),"{日付確定}","（確定日）"),"{時間確定}","（確定時間）"))</f>
        <v/>
      </c>
      <c r="AG85" s="1" t="str">
        <f>IFERROR(VLOOKUP(DF85,スクリプト_フロー!$A:$F,4,FALSE),"")</f>
        <v/>
      </c>
      <c r="CZ85" s="1" t="str">
        <f t="shared" si="23"/>
        <v>|</v>
      </c>
      <c r="DA85" s="1" t="str">
        <f>IFERROR(VLOOKUP(CZ85,スクリプト_フロー!$A:$F,5,FALSE),"")</f>
        <v/>
      </c>
      <c r="DB85" s="1" t="str">
        <f t="shared" si="24"/>
        <v>|</v>
      </c>
      <c r="DC85" s="1" t="str">
        <f>IFERROR(VLOOKUP(DB85,スクリプト_フロー!$A:$F,5,FALSE),"")</f>
        <v/>
      </c>
      <c r="DD85" s="1" t="str">
        <f t="shared" si="25"/>
        <v>|</v>
      </c>
      <c r="DE85" s="1" t="str">
        <f>IFERROR(VLOOKUP(DD85,スクリプト_フロー!$A:$F,5,FALSE),"")</f>
        <v/>
      </c>
      <c r="DF85" s="1" t="str">
        <f t="shared" si="26"/>
        <v>|</v>
      </c>
      <c r="DG85" s="1" t="str">
        <f>IFERROR(VLOOKUP(DF85,スクリプト_フロー!$A:$F,5,FALSE),"")</f>
        <v/>
      </c>
    </row>
    <row r="86" spans="1:111" ht="21">
      <c r="A86" s="1">
        <v>85</v>
      </c>
      <c r="B86" s="1" t="s">
        <v>259</v>
      </c>
      <c r="C86" s="1" t="s">
        <v>260</v>
      </c>
      <c r="D86" s="1" t="s">
        <v>62</v>
      </c>
      <c r="E86" s="6"/>
      <c r="F86" s="6"/>
      <c r="G86" s="6" t="s">
        <v>34</v>
      </c>
      <c r="H86" s="6"/>
      <c r="I86" s="4" t="str">
        <f>SUBSTITUTE(SUBSTITUTE(SUBSTITUTE(SUBSTITUTE(SUBSTITUTE(SUBSTITUTE(SUBSTITUTE(SUBSTITUTE(SUBSTITUTE(SUBSTITUTE(SUBSTITUTE(Q86,"{会社}",設定!$B$3),"{自分}",設定!$B$4),"{サービス}",設定!$B$5),"{料金}",設定!$B$7),"{日付1}",設定!$B$8),"{日付2}",設定!$B$9),"{時間1}",設定!$B$10),"{時間2}",設定!$B$11),"{時間}","（指定時間）"),"{日付確定}","（確定日）"),"{時間確定}","（確定時間）")</f>
        <v/>
      </c>
      <c r="J86" s="1" t="str">
        <f>IFERROR(VLOOKUP(P86,スクリプト_フロー!$A:$F,4,FALSE),"")</f>
        <v/>
      </c>
      <c r="K86" s="6" t="s">
        <v>35</v>
      </c>
      <c r="L86" s="6"/>
      <c r="M86" s="6"/>
      <c r="N86" s="6"/>
      <c r="O86" s="1"/>
      <c r="P86" s="1" t="str">
        <f t="shared" si="18"/>
        <v>①架電|</v>
      </c>
      <c r="Q86" s="1" t="str">
        <f>IFERROR(VLOOKUP(P86,スクリプト_フロー!$A:$F,5,FALSE),"")</f>
        <v/>
      </c>
      <c r="R86" s="6" t="str">
        <f t="shared" si="19"/>
        <v/>
      </c>
      <c r="S86" s="6"/>
      <c r="T86" s="4" t="str">
        <f>IF(DA86="","",SUBSTITUTE(SUBSTITUTE(SUBSTITUTE(SUBSTITUTE(SUBSTITUTE(SUBSTITUTE(SUBSTITUTE(SUBSTITUTE(SUBSTITUTE(SUBSTITUTE(SUBSTITUTE(DA86,"{会社}",設定!$B$3),"{自分}",設定!$B$4),"{サービス}",設定!$B$5),"{料金}",設定!$B$7),"{日付1}",設定!$B$8),"{日付2}",設定!$B$9),"{時間1}",設定!$B$10),"{時間2}",設定!$B$11),"{時間}","（指定時間）"),"{日付確定}","（確定日）"),"{時間確定}","（確定時間）"))</f>
        <v/>
      </c>
      <c r="U86" s="1" t="str">
        <f>IFERROR(VLOOKUP(CZ86,スクリプト_フロー!$A:$F,4,FALSE),"")</f>
        <v/>
      </c>
      <c r="V86" s="6" t="str">
        <f t="shared" si="20"/>
        <v/>
      </c>
      <c r="W86" s="6"/>
      <c r="X86" s="4" t="str">
        <f>IF(DC86="","",SUBSTITUTE(SUBSTITUTE(SUBSTITUTE(SUBSTITUTE(SUBSTITUTE(SUBSTITUTE(SUBSTITUTE(SUBSTITUTE(SUBSTITUTE(SUBSTITUTE(SUBSTITUTE(DC86,"{会社}",設定!$B$3),"{自分}",設定!$B$4),"{サービス}",設定!$B$5),"{料金}",設定!$B$7),"{日付1}",設定!$B$8),"{日付2}",設定!$B$9),"{時間1}",設定!$B$10),"{時間2}",設定!$B$11),"{時間}","（指定時間）"),"{日付確定}","（確定日）"),"{時間確定}","（確定時間）"))</f>
        <v/>
      </c>
      <c r="Y86" s="1" t="str">
        <f>IFERROR(VLOOKUP(DB86,スクリプト_フロー!$A:$F,4,FALSE),"")</f>
        <v/>
      </c>
      <c r="Z86" s="6" t="str">
        <f t="shared" si="21"/>
        <v/>
      </c>
      <c r="AA86" s="6"/>
      <c r="AB86" s="4" t="str">
        <f>IF(DE86="","",SUBSTITUTE(SUBSTITUTE(SUBSTITUTE(SUBSTITUTE(SUBSTITUTE(SUBSTITUTE(SUBSTITUTE(SUBSTITUTE(SUBSTITUTE(SUBSTITUTE(SUBSTITUTE(DE86,"{会社}",設定!$B$3),"{自分}",設定!$B$4),"{サービス}",設定!$B$5),"{料金}",設定!$B$7),"{日付1}",設定!$B$8),"{日付2}",設定!$B$9),"{時間1}",設定!$B$10),"{時間2}",設定!$B$11),"{時間}","（指定時間）"),"{日付確定}","（確定日）"),"{時間確定}","（確定時間）"))</f>
        <v/>
      </c>
      <c r="AC86" s="1" t="str">
        <f>IFERROR(VLOOKUP(DD86,スクリプト_フロー!$A:$F,4,FALSE),"")</f>
        <v/>
      </c>
      <c r="AD86" s="6" t="str">
        <f t="shared" si="22"/>
        <v/>
      </c>
      <c r="AE86" s="6"/>
      <c r="AF86" s="4" t="str">
        <f>IF(DG86="","",SUBSTITUTE(SUBSTITUTE(SUBSTITUTE(SUBSTITUTE(SUBSTITUTE(SUBSTITUTE(SUBSTITUTE(SUBSTITUTE(SUBSTITUTE(SUBSTITUTE(SUBSTITUTE(DG86,"{会社}",設定!$B$3),"{自分}",設定!$B$4),"{サービス}",設定!$B$5),"{料金}",設定!$B$7),"{日付1}",設定!$B$8),"{日付2}",設定!$B$9),"{時間1}",設定!$B$10),"{時間2}",設定!$B$11),"{時間}","（指定時間）"),"{日付確定}","（確定日）"),"{時間確定}","（確定時間）"))</f>
        <v/>
      </c>
      <c r="AG86" s="1" t="str">
        <f>IFERROR(VLOOKUP(DF86,スクリプト_フロー!$A:$F,4,FALSE),"")</f>
        <v/>
      </c>
      <c r="CZ86" s="1" t="str">
        <f t="shared" si="23"/>
        <v>|</v>
      </c>
      <c r="DA86" s="1" t="str">
        <f>IFERROR(VLOOKUP(CZ86,スクリプト_フロー!$A:$F,5,FALSE),"")</f>
        <v/>
      </c>
      <c r="DB86" s="1" t="str">
        <f t="shared" si="24"/>
        <v>|</v>
      </c>
      <c r="DC86" s="1" t="str">
        <f>IFERROR(VLOOKUP(DB86,スクリプト_フロー!$A:$F,5,FALSE),"")</f>
        <v/>
      </c>
      <c r="DD86" s="1" t="str">
        <f t="shared" si="25"/>
        <v>|</v>
      </c>
      <c r="DE86" s="1" t="str">
        <f>IFERROR(VLOOKUP(DD86,スクリプト_フロー!$A:$F,5,FALSE),"")</f>
        <v/>
      </c>
      <c r="DF86" s="1" t="str">
        <f t="shared" si="26"/>
        <v>|</v>
      </c>
      <c r="DG86" s="1" t="str">
        <f>IFERROR(VLOOKUP(DF86,スクリプト_フロー!$A:$F,5,FALSE),"")</f>
        <v/>
      </c>
    </row>
    <row r="87" spans="1:111" ht="21">
      <c r="A87" s="1">
        <v>86</v>
      </c>
      <c r="B87" s="1" t="s">
        <v>261</v>
      </c>
      <c r="C87" s="1" t="s">
        <v>262</v>
      </c>
      <c r="D87" s="1" t="s">
        <v>62</v>
      </c>
      <c r="E87" s="6"/>
      <c r="F87" s="6"/>
      <c r="G87" s="6" t="s">
        <v>34</v>
      </c>
      <c r="H87" s="6"/>
      <c r="I87" s="4" t="str">
        <f>SUBSTITUTE(SUBSTITUTE(SUBSTITUTE(SUBSTITUTE(SUBSTITUTE(SUBSTITUTE(SUBSTITUTE(SUBSTITUTE(SUBSTITUTE(SUBSTITUTE(SUBSTITUTE(Q87,"{会社}",設定!$B$3),"{自分}",設定!$B$4),"{サービス}",設定!$B$5),"{料金}",設定!$B$7),"{日付1}",設定!$B$8),"{日付2}",設定!$B$9),"{時間1}",設定!$B$10),"{時間2}",設定!$B$11),"{時間}","（指定時間）"),"{日付確定}","（確定日）"),"{時間確定}","（確定時間）")</f>
        <v/>
      </c>
      <c r="J87" s="1" t="str">
        <f>IFERROR(VLOOKUP(P87,スクリプト_フロー!$A:$F,4,FALSE),"")</f>
        <v/>
      </c>
      <c r="K87" s="6" t="s">
        <v>35</v>
      </c>
      <c r="L87" s="6"/>
      <c r="M87" s="6"/>
      <c r="N87" s="6"/>
      <c r="O87" s="1"/>
      <c r="P87" s="1" t="str">
        <f t="shared" si="18"/>
        <v>①架電|</v>
      </c>
      <c r="Q87" s="1" t="str">
        <f>IFERROR(VLOOKUP(P87,スクリプト_フロー!$A:$F,5,FALSE),"")</f>
        <v/>
      </c>
      <c r="R87" s="6" t="str">
        <f t="shared" si="19"/>
        <v/>
      </c>
      <c r="S87" s="6"/>
      <c r="T87" s="4" t="str">
        <f>IF(DA87="","",SUBSTITUTE(SUBSTITUTE(SUBSTITUTE(SUBSTITUTE(SUBSTITUTE(SUBSTITUTE(SUBSTITUTE(SUBSTITUTE(SUBSTITUTE(SUBSTITUTE(SUBSTITUTE(DA87,"{会社}",設定!$B$3),"{自分}",設定!$B$4),"{サービス}",設定!$B$5),"{料金}",設定!$B$7),"{日付1}",設定!$B$8),"{日付2}",設定!$B$9),"{時間1}",設定!$B$10),"{時間2}",設定!$B$11),"{時間}","（指定時間）"),"{日付確定}","（確定日）"),"{時間確定}","（確定時間）"))</f>
        <v/>
      </c>
      <c r="U87" s="1" t="str">
        <f>IFERROR(VLOOKUP(CZ87,スクリプト_フロー!$A:$F,4,FALSE),"")</f>
        <v/>
      </c>
      <c r="V87" s="6" t="str">
        <f t="shared" si="20"/>
        <v/>
      </c>
      <c r="W87" s="6"/>
      <c r="X87" s="4" t="str">
        <f>IF(DC87="","",SUBSTITUTE(SUBSTITUTE(SUBSTITUTE(SUBSTITUTE(SUBSTITUTE(SUBSTITUTE(SUBSTITUTE(SUBSTITUTE(SUBSTITUTE(SUBSTITUTE(SUBSTITUTE(DC87,"{会社}",設定!$B$3),"{自分}",設定!$B$4),"{サービス}",設定!$B$5),"{料金}",設定!$B$7),"{日付1}",設定!$B$8),"{日付2}",設定!$B$9),"{時間1}",設定!$B$10),"{時間2}",設定!$B$11),"{時間}","（指定時間）"),"{日付確定}","（確定日）"),"{時間確定}","（確定時間）"))</f>
        <v/>
      </c>
      <c r="Y87" s="1" t="str">
        <f>IFERROR(VLOOKUP(DB87,スクリプト_フロー!$A:$F,4,FALSE),"")</f>
        <v/>
      </c>
      <c r="Z87" s="6" t="str">
        <f t="shared" si="21"/>
        <v/>
      </c>
      <c r="AA87" s="6"/>
      <c r="AB87" s="4" t="str">
        <f>IF(DE87="","",SUBSTITUTE(SUBSTITUTE(SUBSTITUTE(SUBSTITUTE(SUBSTITUTE(SUBSTITUTE(SUBSTITUTE(SUBSTITUTE(SUBSTITUTE(SUBSTITUTE(SUBSTITUTE(DE87,"{会社}",設定!$B$3),"{自分}",設定!$B$4),"{サービス}",設定!$B$5),"{料金}",設定!$B$7),"{日付1}",設定!$B$8),"{日付2}",設定!$B$9),"{時間1}",設定!$B$10),"{時間2}",設定!$B$11),"{時間}","（指定時間）"),"{日付確定}","（確定日）"),"{時間確定}","（確定時間）"))</f>
        <v/>
      </c>
      <c r="AC87" s="1" t="str">
        <f>IFERROR(VLOOKUP(DD87,スクリプト_フロー!$A:$F,4,FALSE),"")</f>
        <v/>
      </c>
      <c r="AD87" s="6" t="str">
        <f t="shared" si="22"/>
        <v/>
      </c>
      <c r="AE87" s="6"/>
      <c r="AF87" s="4" t="str">
        <f>IF(DG87="","",SUBSTITUTE(SUBSTITUTE(SUBSTITUTE(SUBSTITUTE(SUBSTITUTE(SUBSTITUTE(SUBSTITUTE(SUBSTITUTE(SUBSTITUTE(SUBSTITUTE(SUBSTITUTE(DG87,"{会社}",設定!$B$3),"{自分}",設定!$B$4),"{サービス}",設定!$B$5),"{料金}",設定!$B$7),"{日付1}",設定!$B$8),"{日付2}",設定!$B$9),"{時間1}",設定!$B$10),"{時間2}",設定!$B$11),"{時間}","（指定時間）"),"{日付確定}","（確定日）"),"{時間確定}","（確定時間）"))</f>
        <v/>
      </c>
      <c r="AG87" s="1" t="str">
        <f>IFERROR(VLOOKUP(DF87,スクリプト_フロー!$A:$F,4,FALSE),"")</f>
        <v/>
      </c>
      <c r="CZ87" s="1" t="str">
        <f t="shared" si="23"/>
        <v>|</v>
      </c>
      <c r="DA87" s="1" t="str">
        <f>IFERROR(VLOOKUP(CZ87,スクリプト_フロー!$A:$F,5,FALSE),"")</f>
        <v/>
      </c>
      <c r="DB87" s="1" t="str">
        <f t="shared" si="24"/>
        <v>|</v>
      </c>
      <c r="DC87" s="1" t="str">
        <f>IFERROR(VLOOKUP(DB87,スクリプト_フロー!$A:$F,5,FALSE),"")</f>
        <v/>
      </c>
      <c r="DD87" s="1" t="str">
        <f t="shared" si="25"/>
        <v>|</v>
      </c>
      <c r="DE87" s="1" t="str">
        <f>IFERROR(VLOOKUP(DD87,スクリプト_フロー!$A:$F,5,FALSE),"")</f>
        <v/>
      </c>
      <c r="DF87" s="1" t="str">
        <f t="shared" si="26"/>
        <v>|</v>
      </c>
      <c r="DG87" s="1" t="str">
        <f>IFERROR(VLOOKUP(DF87,スクリプト_フロー!$A:$F,5,FALSE),"")</f>
        <v/>
      </c>
    </row>
    <row r="88" spans="1:111" ht="21">
      <c r="A88" s="1">
        <v>87</v>
      </c>
      <c r="B88" s="1" t="s">
        <v>263</v>
      </c>
      <c r="C88" s="1" t="s">
        <v>264</v>
      </c>
      <c r="D88" s="1" t="s">
        <v>62</v>
      </c>
      <c r="E88" s="6"/>
      <c r="F88" s="6"/>
      <c r="G88" s="6" t="s">
        <v>34</v>
      </c>
      <c r="H88" s="6"/>
      <c r="I88" s="4" t="str">
        <f>SUBSTITUTE(SUBSTITUTE(SUBSTITUTE(SUBSTITUTE(SUBSTITUTE(SUBSTITUTE(SUBSTITUTE(SUBSTITUTE(SUBSTITUTE(SUBSTITUTE(SUBSTITUTE(Q88,"{会社}",設定!$B$3),"{自分}",設定!$B$4),"{サービス}",設定!$B$5),"{料金}",設定!$B$7),"{日付1}",設定!$B$8),"{日付2}",設定!$B$9),"{時間1}",設定!$B$10),"{時間2}",設定!$B$11),"{時間}","（指定時間）"),"{日付確定}","（確定日）"),"{時間確定}","（確定時間）")</f>
        <v/>
      </c>
      <c r="J88" s="1" t="str">
        <f>IFERROR(VLOOKUP(P88,スクリプト_フロー!$A:$F,4,FALSE),"")</f>
        <v/>
      </c>
      <c r="K88" s="6" t="s">
        <v>35</v>
      </c>
      <c r="L88" s="6"/>
      <c r="M88" s="6"/>
      <c r="N88" s="6"/>
      <c r="O88" s="1"/>
      <c r="P88" s="1" t="str">
        <f t="shared" si="18"/>
        <v>①架電|</v>
      </c>
      <c r="Q88" s="1" t="str">
        <f>IFERROR(VLOOKUP(P88,スクリプト_フロー!$A:$F,5,FALSE),"")</f>
        <v/>
      </c>
      <c r="R88" s="6" t="str">
        <f t="shared" si="19"/>
        <v/>
      </c>
      <c r="S88" s="6"/>
      <c r="T88" s="4" t="str">
        <f>IF(DA88="","",SUBSTITUTE(SUBSTITUTE(SUBSTITUTE(SUBSTITUTE(SUBSTITUTE(SUBSTITUTE(SUBSTITUTE(SUBSTITUTE(SUBSTITUTE(SUBSTITUTE(SUBSTITUTE(DA88,"{会社}",設定!$B$3),"{自分}",設定!$B$4),"{サービス}",設定!$B$5),"{料金}",設定!$B$7),"{日付1}",設定!$B$8),"{日付2}",設定!$B$9),"{時間1}",設定!$B$10),"{時間2}",設定!$B$11),"{時間}","（指定時間）"),"{日付確定}","（確定日）"),"{時間確定}","（確定時間）"))</f>
        <v/>
      </c>
      <c r="U88" s="1" t="str">
        <f>IFERROR(VLOOKUP(CZ88,スクリプト_フロー!$A:$F,4,FALSE),"")</f>
        <v/>
      </c>
      <c r="V88" s="6" t="str">
        <f t="shared" si="20"/>
        <v/>
      </c>
      <c r="W88" s="6"/>
      <c r="X88" s="4" t="str">
        <f>IF(DC88="","",SUBSTITUTE(SUBSTITUTE(SUBSTITUTE(SUBSTITUTE(SUBSTITUTE(SUBSTITUTE(SUBSTITUTE(SUBSTITUTE(SUBSTITUTE(SUBSTITUTE(SUBSTITUTE(DC88,"{会社}",設定!$B$3),"{自分}",設定!$B$4),"{サービス}",設定!$B$5),"{料金}",設定!$B$7),"{日付1}",設定!$B$8),"{日付2}",設定!$B$9),"{時間1}",設定!$B$10),"{時間2}",設定!$B$11),"{時間}","（指定時間）"),"{日付確定}","（確定日）"),"{時間確定}","（確定時間）"))</f>
        <v/>
      </c>
      <c r="Y88" s="1" t="str">
        <f>IFERROR(VLOOKUP(DB88,スクリプト_フロー!$A:$F,4,FALSE),"")</f>
        <v/>
      </c>
      <c r="Z88" s="6" t="str">
        <f t="shared" si="21"/>
        <v/>
      </c>
      <c r="AA88" s="6"/>
      <c r="AB88" s="4" t="str">
        <f>IF(DE88="","",SUBSTITUTE(SUBSTITUTE(SUBSTITUTE(SUBSTITUTE(SUBSTITUTE(SUBSTITUTE(SUBSTITUTE(SUBSTITUTE(SUBSTITUTE(SUBSTITUTE(SUBSTITUTE(DE88,"{会社}",設定!$B$3),"{自分}",設定!$B$4),"{サービス}",設定!$B$5),"{料金}",設定!$B$7),"{日付1}",設定!$B$8),"{日付2}",設定!$B$9),"{時間1}",設定!$B$10),"{時間2}",設定!$B$11),"{時間}","（指定時間）"),"{日付確定}","（確定日）"),"{時間確定}","（確定時間）"))</f>
        <v/>
      </c>
      <c r="AC88" s="1" t="str">
        <f>IFERROR(VLOOKUP(DD88,スクリプト_フロー!$A:$F,4,FALSE),"")</f>
        <v/>
      </c>
      <c r="AD88" s="6" t="str">
        <f t="shared" si="22"/>
        <v/>
      </c>
      <c r="AE88" s="6"/>
      <c r="AF88" s="4" t="str">
        <f>IF(DG88="","",SUBSTITUTE(SUBSTITUTE(SUBSTITUTE(SUBSTITUTE(SUBSTITUTE(SUBSTITUTE(SUBSTITUTE(SUBSTITUTE(SUBSTITUTE(SUBSTITUTE(SUBSTITUTE(DG88,"{会社}",設定!$B$3),"{自分}",設定!$B$4),"{サービス}",設定!$B$5),"{料金}",設定!$B$7),"{日付1}",設定!$B$8),"{日付2}",設定!$B$9),"{時間1}",設定!$B$10),"{時間2}",設定!$B$11),"{時間}","（指定時間）"),"{日付確定}","（確定日）"),"{時間確定}","（確定時間）"))</f>
        <v/>
      </c>
      <c r="AG88" s="1" t="str">
        <f>IFERROR(VLOOKUP(DF88,スクリプト_フロー!$A:$F,4,FALSE),"")</f>
        <v/>
      </c>
      <c r="CZ88" s="1" t="str">
        <f t="shared" si="23"/>
        <v>|</v>
      </c>
      <c r="DA88" s="1" t="str">
        <f>IFERROR(VLOOKUP(CZ88,スクリプト_フロー!$A:$F,5,FALSE),"")</f>
        <v/>
      </c>
      <c r="DB88" s="1" t="str">
        <f t="shared" si="24"/>
        <v>|</v>
      </c>
      <c r="DC88" s="1" t="str">
        <f>IFERROR(VLOOKUP(DB88,スクリプト_フロー!$A:$F,5,FALSE),"")</f>
        <v/>
      </c>
      <c r="DD88" s="1" t="str">
        <f t="shared" si="25"/>
        <v>|</v>
      </c>
      <c r="DE88" s="1" t="str">
        <f>IFERROR(VLOOKUP(DD88,スクリプト_フロー!$A:$F,5,FALSE),"")</f>
        <v/>
      </c>
      <c r="DF88" s="1" t="str">
        <f t="shared" si="26"/>
        <v>|</v>
      </c>
      <c r="DG88" s="1" t="str">
        <f>IFERROR(VLOOKUP(DF88,スクリプト_フロー!$A:$F,5,FALSE),"")</f>
        <v/>
      </c>
    </row>
    <row r="89" spans="1:111" ht="21">
      <c r="A89" s="1">
        <v>88</v>
      </c>
      <c r="B89" s="1" t="s">
        <v>265</v>
      </c>
      <c r="C89" s="1" t="s">
        <v>266</v>
      </c>
      <c r="D89" s="1" t="s">
        <v>62</v>
      </c>
      <c r="E89" s="6"/>
      <c r="F89" s="6"/>
      <c r="G89" s="6" t="s">
        <v>34</v>
      </c>
      <c r="H89" s="6"/>
      <c r="I89" s="4" t="str">
        <f>SUBSTITUTE(SUBSTITUTE(SUBSTITUTE(SUBSTITUTE(SUBSTITUTE(SUBSTITUTE(SUBSTITUTE(SUBSTITUTE(SUBSTITUTE(SUBSTITUTE(SUBSTITUTE(Q89,"{会社}",設定!$B$3),"{自分}",設定!$B$4),"{サービス}",設定!$B$5),"{料金}",設定!$B$7),"{日付1}",設定!$B$8),"{日付2}",設定!$B$9),"{時間1}",設定!$B$10),"{時間2}",設定!$B$11),"{時間}","（指定時間）"),"{日付確定}","（確定日）"),"{時間確定}","（確定時間）")</f>
        <v/>
      </c>
      <c r="J89" s="1" t="str">
        <f>IFERROR(VLOOKUP(P89,スクリプト_フロー!$A:$F,4,FALSE),"")</f>
        <v/>
      </c>
      <c r="K89" s="6" t="s">
        <v>35</v>
      </c>
      <c r="L89" s="6"/>
      <c r="M89" s="6"/>
      <c r="N89" s="6"/>
      <c r="O89" s="1"/>
      <c r="P89" s="1" t="str">
        <f t="shared" si="18"/>
        <v>①架電|</v>
      </c>
      <c r="Q89" s="1" t="str">
        <f>IFERROR(VLOOKUP(P89,スクリプト_フロー!$A:$F,5,FALSE),"")</f>
        <v/>
      </c>
      <c r="R89" s="6" t="str">
        <f t="shared" si="19"/>
        <v/>
      </c>
      <c r="S89" s="6"/>
      <c r="T89" s="4" t="str">
        <f>IF(DA89="","",SUBSTITUTE(SUBSTITUTE(SUBSTITUTE(SUBSTITUTE(SUBSTITUTE(SUBSTITUTE(SUBSTITUTE(SUBSTITUTE(SUBSTITUTE(SUBSTITUTE(SUBSTITUTE(DA89,"{会社}",設定!$B$3),"{自分}",設定!$B$4),"{サービス}",設定!$B$5),"{料金}",設定!$B$7),"{日付1}",設定!$B$8),"{日付2}",設定!$B$9),"{時間1}",設定!$B$10),"{時間2}",設定!$B$11),"{時間}","（指定時間）"),"{日付確定}","（確定日）"),"{時間確定}","（確定時間）"))</f>
        <v/>
      </c>
      <c r="U89" s="1" t="str">
        <f>IFERROR(VLOOKUP(CZ89,スクリプト_フロー!$A:$F,4,FALSE),"")</f>
        <v/>
      </c>
      <c r="V89" s="6" t="str">
        <f t="shared" si="20"/>
        <v/>
      </c>
      <c r="W89" s="6"/>
      <c r="X89" s="4" t="str">
        <f>IF(DC89="","",SUBSTITUTE(SUBSTITUTE(SUBSTITUTE(SUBSTITUTE(SUBSTITUTE(SUBSTITUTE(SUBSTITUTE(SUBSTITUTE(SUBSTITUTE(SUBSTITUTE(SUBSTITUTE(DC89,"{会社}",設定!$B$3),"{自分}",設定!$B$4),"{サービス}",設定!$B$5),"{料金}",設定!$B$7),"{日付1}",設定!$B$8),"{日付2}",設定!$B$9),"{時間1}",設定!$B$10),"{時間2}",設定!$B$11),"{時間}","（指定時間）"),"{日付確定}","（確定日）"),"{時間確定}","（確定時間）"))</f>
        <v/>
      </c>
      <c r="Y89" s="1" t="str">
        <f>IFERROR(VLOOKUP(DB89,スクリプト_フロー!$A:$F,4,FALSE),"")</f>
        <v/>
      </c>
      <c r="Z89" s="6" t="str">
        <f t="shared" si="21"/>
        <v/>
      </c>
      <c r="AA89" s="6"/>
      <c r="AB89" s="4" t="str">
        <f>IF(DE89="","",SUBSTITUTE(SUBSTITUTE(SUBSTITUTE(SUBSTITUTE(SUBSTITUTE(SUBSTITUTE(SUBSTITUTE(SUBSTITUTE(SUBSTITUTE(SUBSTITUTE(SUBSTITUTE(DE89,"{会社}",設定!$B$3),"{自分}",設定!$B$4),"{サービス}",設定!$B$5),"{料金}",設定!$B$7),"{日付1}",設定!$B$8),"{日付2}",設定!$B$9),"{時間1}",設定!$B$10),"{時間2}",設定!$B$11),"{時間}","（指定時間）"),"{日付確定}","（確定日）"),"{時間確定}","（確定時間）"))</f>
        <v/>
      </c>
      <c r="AC89" s="1" t="str">
        <f>IFERROR(VLOOKUP(DD89,スクリプト_フロー!$A:$F,4,FALSE),"")</f>
        <v/>
      </c>
      <c r="AD89" s="6" t="str">
        <f t="shared" si="22"/>
        <v/>
      </c>
      <c r="AE89" s="6"/>
      <c r="AF89" s="4" t="str">
        <f>IF(DG89="","",SUBSTITUTE(SUBSTITUTE(SUBSTITUTE(SUBSTITUTE(SUBSTITUTE(SUBSTITUTE(SUBSTITUTE(SUBSTITUTE(SUBSTITUTE(SUBSTITUTE(SUBSTITUTE(DG89,"{会社}",設定!$B$3),"{自分}",設定!$B$4),"{サービス}",設定!$B$5),"{料金}",設定!$B$7),"{日付1}",設定!$B$8),"{日付2}",設定!$B$9),"{時間1}",設定!$B$10),"{時間2}",設定!$B$11),"{時間}","（指定時間）"),"{日付確定}","（確定日）"),"{時間確定}","（確定時間）"))</f>
        <v/>
      </c>
      <c r="AG89" s="1" t="str">
        <f>IFERROR(VLOOKUP(DF89,スクリプト_フロー!$A:$F,4,FALSE),"")</f>
        <v/>
      </c>
      <c r="CZ89" s="1" t="str">
        <f t="shared" si="23"/>
        <v>|</v>
      </c>
      <c r="DA89" s="1" t="str">
        <f>IFERROR(VLOOKUP(CZ89,スクリプト_フロー!$A:$F,5,FALSE),"")</f>
        <v/>
      </c>
      <c r="DB89" s="1" t="str">
        <f t="shared" si="24"/>
        <v>|</v>
      </c>
      <c r="DC89" s="1" t="str">
        <f>IFERROR(VLOOKUP(DB89,スクリプト_フロー!$A:$F,5,FALSE),"")</f>
        <v/>
      </c>
      <c r="DD89" s="1" t="str">
        <f t="shared" si="25"/>
        <v>|</v>
      </c>
      <c r="DE89" s="1" t="str">
        <f>IFERROR(VLOOKUP(DD89,スクリプト_フロー!$A:$F,5,FALSE),"")</f>
        <v/>
      </c>
      <c r="DF89" s="1" t="str">
        <f t="shared" si="26"/>
        <v>|</v>
      </c>
      <c r="DG89" s="1" t="str">
        <f>IFERROR(VLOOKUP(DF89,スクリプト_フロー!$A:$F,5,FALSE),"")</f>
        <v/>
      </c>
    </row>
    <row r="90" spans="1:111" ht="21">
      <c r="A90" s="1">
        <v>89</v>
      </c>
      <c r="B90" s="1" t="s">
        <v>267</v>
      </c>
      <c r="C90" s="1" t="s">
        <v>268</v>
      </c>
      <c r="D90" s="1" t="s">
        <v>62</v>
      </c>
      <c r="E90" s="6"/>
      <c r="F90" s="6"/>
      <c r="G90" s="6" t="s">
        <v>34</v>
      </c>
      <c r="H90" s="6"/>
      <c r="I90" s="4" t="str">
        <f>SUBSTITUTE(SUBSTITUTE(SUBSTITUTE(SUBSTITUTE(SUBSTITUTE(SUBSTITUTE(SUBSTITUTE(SUBSTITUTE(SUBSTITUTE(SUBSTITUTE(SUBSTITUTE(Q90,"{会社}",設定!$B$3),"{自分}",設定!$B$4),"{サービス}",設定!$B$5),"{料金}",設定!$B$7),"{日付1}",設定!$B$8),"{日付2}",設定!$B$9),"{時間1}",設定!$B$10),"{時間2}",設定!$B$11),"{時間}","（指定時間）"),"{日付確定}","（確定日）"),"{時間確定}","（確定時間）")</f>
        <v/>
      </c>
      <c r="J90" s="1" t="str">
        <f>IFERROR(VLOOKUP(P90,スクリプト_フロー!$A:$F,4,FALSE),"")</f>
        <v/>
      </c>
      <c r="K90" s="6" t="s">
        <v>35</v>
      </c>
      <c r="L90" s="6"/>
      <c r="M90" s="6"/>
      <c r="N90" s="6"/>
      <c r="O90" s="1"/>
      <c r="P90" s="1" t="str">
        <f t="shared" si="18"/>
        <v>①架電|</v>
      </c>
      <c r="Q90" s="1" t="str">
        <f>IFERROR(VLOOKUP(P90,スクリプト_フロー!$A:$F,5,FALSE),"")</f>
        <v/>
      </c>
      <c r="R90" s="6" t="str">
        <f t="shared" si="19"/>
        <v/>
      </c>
      <c r="S90" s="6"/>
      <c r="T90" s="4" t="str">
        <f>IF(DA90="","",SUBSTITUTE(SUBSTITUTE(SUBSTITUTE(SUBSTITUTE(SUBSTITUTE(SUBSTITUTE(SUBSTITUTE(SUBSTITUTE(SUBSTITUTE(SUBSTITUTE(SUBSTITUTE(DA90,"{会社}",設定!$B$3),"{自分}",設定!$B$4),"{サービス}",設定!$B$5),"{料金}",設定!$B$7),"{日付1}",設定!$B$8),"{日付2}",設定!$B$9),"{時間1}",設定!$B$10),"{時間2}",設定!$B$11),"{時間}","（指定時間）"),"{日付確定}","（確定日）"),"{時間確定}","（確定時間）"))</f>
        <v/>
      </c>
      <c r="U90" s="1" t="str">
        <f>IFERROR(VLOOKUP(CZ90,スクリプト_フロー!$A:$F,4,FALSE),"")</f>
        <v/>
      </c>
      <c r="V90" s="6" t="str">
        <f t="shared" si="20"/>
        <v/>
      </c>
      <c r="W90" s="6"/>
      <c r="X90" s="4" t="str">
        <f>IF(DC90="","",SUBSTITUTE(SUBSTITUTE(SUBSTITUTE(SUBSTITUTE(SUBSTITUTE(SUBSTITUTE(SUBSTITUTE(SUBSTITUTE(SUBSTITUTE(SUBSTITUTE(SUBSTITUTE(DC90,"{会社}",設定!$B$3),"{自分}",設定!$B$4),"{サービス}",設定!$B$5),"{料金}",設定!$B$7),"{日付1}",設定!$B$8),"{日付2}",設定!$B$9),"{時間1}",設定!$B$10),"{時間2}",設定!$B$11),"{時間}","（指定時間）"),"{日付確定}","（確定日）"),"{時間確定}","（確定時間）"))</f>
        <v/>
      </c>
      <c r="Y90" s="1" t="str">
        <f>IFERROR(VLOOKUP(DB90,スクリプト_フロー!$A:$F,4,FALSE),"")</f>
        <v/>
      </c>
      <c r="Z90" s="6" t="str">
        <f t="shared" si="21"/>
        <v/>
      </c>
      <c r="AA90" s="6"/>
      <c r="AB90" s="4" t="str">
        <f>IF(DE90="","",SUBSTITUTE(SUBSTITUTE(SUBSTITUTE(SUBSTITUTE(SUBSTITUTE(SUBSTITUTE(SUBSTITUTE(SUBSTITUTE(SUBSTITUTE(SUBSTITUTE(SUBSTITUTE(DE90,"{会社}",設定!$B$3),"{自分}",設定!$B$4),"{サービス}",設定!$B$5),"{料金}",設定!$B$7),"{日付1}",設定!$B$8),"{日付2}",設定!$B$9),"{時間1}",設定!$B$10),"{時間2}",設定!$B$11),"{時間}","（指定時間）"),"{日付確定}","（確定日）"),"{時間確定}","（確定時間）"))</f>
        <v/>
      </c>
      <c r="AC90" s="1" t="str">
        <f>IFERROR(VLOOKUP(DD90,スクリプト_フロー!$A:$F,4,FALSE),"")</f>
        <v/>
      </c>
      <c r="AD90" s="6" t="str">
        <f t="shared" si="22"/>
        <v/>
      </c>
      <c r="AE90" s="6"/>
      <c r="AF90" s="4" t="str">
        <f>IF(DG90="","",SUBSTITUTE(SUBSTITUTE(SUBSTITUTE(SUBSTITUTE(SUBSTITUTE(SUBSTITUTE(SUBSTITUTE(SUBSTITUTE(SUBSTITUTE(SUBSTITUTE(SUBSTITUTE(DG90,"{会社}",設定!$B$3),"{自分}",設定!$B$4),"{サービス}",設定!$B$5),"{料金}",設定!$B$7),"{日付1}",設定!$B$8),"{日付2}",設定!$B$9),"{時間1}",設定!$B$10),"{時間2}",設定!$B$11),"{時間}","（指定時間）"),"{日付確定}","（確定日）"),"{時間確定}","（確定時間）"))</f>
        <v/>
      </c>
      <c r="AG90" s="1" t="str">
        <f>IFERROR(VLOOKUP(DF90,スクリプト_フロー!$A:$F,4,FALSE),"")</f>
        <v/>
      </c>
      <c r="CZ90" s="1" t="str">
        <f t="shared" si="23"/>
        <v>|</v>
      </c>
      <c r="DA90" s="1" t="str">
        <f>IFERROR(VLOOKUP(CZ90,スクリプト_フロー!$A:$F,5,FALSE),"")</f>
        <v/>
      </c>
      <c r="DB90" s="1" t="str">
        <f t="shared" si="24"/>
        <v>|</v>
      </c>
      <c r="DC90" s="1" t="str">
        <f>IFERROR(VLOOKUP(DB90,スクリプト_フロー!$A:$F,5,FALSE),"")</f>
        <v/>
      </c>
      <c r="DD90" s="1" t="str">
        <f t="shared" si="25"/>
        <v>|</v>
      </c>
      <c r="DE90" s="1" t="str">
        <f>IFERROR(VLOOKUP(DD90,スクリプト_フロー!$A:$F,5,FALSE),"")</f>
        <v/>
      </c>
      <c r="DF90" s="1" t="str">
        <f t="shared" si="26"/>
        <v>|</v>
      </c>
      <c r="DG90" s="1" t="str">
        <f>IFERROR(VLOOKUP(DF90,スクリプト_フロー!$A:$F,5,FALSE),"")</f>
        <v/>
      </c>
    </row>
    <row r="91" spans="1:111" ht="21">
      <c r="A91" s="1">
        <v>90</v>
      </c>
      <c r="B91" s="1" t="s">
        <v>269</v>
      </c>
      <c r="C91" s="1" t="s">
        <v>270</v>
      </c>
      <c r="D91" s="1" t="s">
        <v>62</v>
      </c>
      <c r="E91" s="6"/>
      <c r="F91" s="6"/>
      <c r="G91" s="6" t="s">
        <v>34</v>
      </c>
      <c r="H91" s="6"/>
      <c r="I91" s="4" t="str">
        <f>SUBSTITUTE(SUBSTITUTE(SUBSTITUTE(SUBSTITUTE(SUBSTITUTE(SUBSTITUTE(SUBSTITUTE(SUBSTITUTE(SUBSTITUTE(SUBSTITUTE(SUBSTITUTE(Q91,"{会社}",設定!$B$3),"{自分}",設定!$B$4),"{サービス}",設定!$B$5),"{料金}",設定!$B$7),"{日付1}",設定!$B$8),"{日付2}",設定!$B$9),"{時間1}",設定!$B$10),"{時間2}",設定!$B$11),"{時間}","（指定時間）"),"{日付確定}","（確定日）"),"{時間確定}","（確定時間）")</f>
        <v/>
      </c>
      <c r="J91" s="1" t="str">
        <f>IFERROR(VLOOKUP(P91,スクリプト_フロー!$A:$F,4,FALSE),"")</f>
        <v/>
      </c>
      <c r="K91" s="6" t="s">
        <v>35</v>
      </c>
      <c r="L91" s="6"/>
      <c r="M91" s="6"/>
      <c r="N91" s="6"/>
      <c r="O91" s="1"/>
      <c r="P91" s="1" t="str">
        <f t="shared" si="18"/>
        <v>①架電|</v>
      </c>
      <c r="Q91" s="1" t="str">
        <f>IFERROR(VLOOKUP(P91,スクリプト_フロー!$A:$F,5,FALSE),"")</f>
        <v/>
      </c>
      <c r="R91" s="6" t="str">
        <f t="shared" si="19"/>
        <v/>
      </c>
      <c r="S91" s="6"/>
      <c r="T91" s="4" t="str">
        <f>IF(DA91="","",SUBSTITUTE(SUBSTITUTE(SUBSTITUTE(SUBSTITUTE(SUBSTITUTE(SUBSTITUTE(SUBSTITUTE(SUBSTITUTE(SUBSTITUTE(SUBSTITUTE(SUBSTITUTE(DA91,"{会社}",設定!$B$3),"{自分}",設定!$B$4),"{サービス}",設定!$B$5),"{料金}",設定!$B$7),"{日付1}",設定!$B$8),"{日付2}",設定!$B$9),"{時間1}",設定!$B$10),"{時間2}",設定!$B$11),"{時間}","（指定時間）"),"{日付確定}","（確定日）"),"{時間確定}","（確定時間）"))</f>
        <v/>
      </c>
      <c r="U91" s="1" t="str">
        <f>IFERROR(VLOOKUP(CZ91,スクリプト_フロー!$A:$F,4,FALSE),"")</f>
        <v/>
      </c>
      <c r="V91" s="6" t="str">
        <f t="shared" si="20"/>
        <v/>
      </c>
      <c r="W91" s="6"/>
      <c r="X91" s="4" t="str">
        <f>IF(DC91="","",SUBSTITUTE(SUBSTITUTE(SUBSTITUTE(SUBSTITUTE(SUBSTITUTE(SUBSTITUTE(SUBSTITUTE(SUBSTITUTE(SUBSTITUTE(SUBSTITUTE(SUBSTITUTE(DC91,"{会社}",設定!$B$3),"{自分}",設定!$B$4),"{サービス}",設定!$B$5),"{料金}",設定!$B$7),"{日付1}",設定!$B$8),"{日付2}",設定!$B$9),"{時間1}",設定!$B$10),"{時間2}",設定!$B$11),"{時間}","（指定時間）"),"{日付確定}","（確定日）"),"{時間確定}","（確定時間）"))</f>
        <v/>
      </c>
      <c r="Y91" s="1" t="str">
        <f>IFERROR(VLOOKUP(DB91,スクリプト_フロー!$A:$F,4,FALSE),"")</f>
        <v/>
      </c>
      <c r="Z91" s="6" t="str">
        <f t="shared" si="21"/>
        <v/>
      </c>
      <c r="AA91" s="6"/>
      <c r="AB91" s="4" t="str">
        <f>IF(DE91="","",SUBSTITUTE(SUBSTITUTE(SUBSTITUTE(SUBSTITUTE(SUBSTITUTE(SUBSTITUTE(SUBSTITUTE(SUBSTITUTE(SUBSTITUTE(SUBSTITUTE(SUBSTITUTE(DE91,"{会社}",設定!$B$3),"{自分}",設定!$B$4),"{サービス}",設定!$B$5),"{料金}",設定!$B$7),"{日付1}",設定!$B$8),"{日付2}",設定!$B$9),"{時間1}",設定!$B$10),"{時間2}",設定!$B$11),"{時間}","（指定時間）"),"{日付確定}","（確定日）"),"{時間確定}","（確定時間）"))</f>
        <v/>
      </c>
      <c r="AC91" s="1" t="str">
        <f>IFERROR(VLOOKUP(DD91,スクリプト_フロー!$A:$F,4,FALSE),"")</f>
        <v/>
      </c>
      <c r="AD91" s="6" t="str">
        <f t="shared" si="22"/>
        <v/>
      </c>
      <c r="AE91" s="6"/>
      <c r="AF91" s="4" t="str">
        <f>IF(DG91="","",SUBSTITUTE(SUBSTITUTE(SUBSTITUTE(SUBSTITUTE(SUBSTITUTE(SUBSTITUTE(SUBSTITUTE(SUBSTITUTE(SUBSTITUTE(SUBSTITUTE(SUBSTITUTE(DG91,"{会社}",設定!$B$3),"{自分}",設定!$B$4),"{サービス}",設定!$B$5),"{料金}",設定!$B$7),"{日付1}",設定!$B$8),"{日付2}",設定!$B$9),"{時間1}",設定!$B$10),"{時間2}",設定!$B$11),"{時間}","（指定時間）"),"{日付確定}","（確定日）"),"{時間確定}","（確定時間）"))</f>
        <v/>
      </c>
      <c r="AG91" s="1" t="str">
        <f>IFERROR(VLOOKUP(DF91,スクリプト_フロー!$A:$F,4,FALSE),"")</f>
        <v/>
      </c>
      <c r="CZ91" s="1" t="str">
        <f t="shared" si="23"/>
        <v>|</v>
      </c>
      <c r="DA91" s="1" t="str">
        <f>IFERROR(VLOOKUP(CZ91,スクリプト_フロー!$A:$F,5,FALSE),"")</f>
        <v/>
      </c>
      <c r="DB91" s="1" t="str">
        <f t="shared" si="24"/>
        <v>|</v>
      </c>
      <c r="DC91" s="1" t="str">
        <f>IFERROR(VLOOKUP(DB91,スクリプト_フロー!$A:$F,5,FALSE),"")</f>
        <v/>
      </c>
      <c r="DD91" s="1" t="str">
        <f t="shared" si="25"/>
        <v>|</v>
      </c>
      <c r="DE91" s="1" t="str">
        <f>IFERROR(VLOOKUP(DD91,スクリプト_フロー!$A:$F,5,FALSE),"")</f>
        <v/>
      </c>
      <c r="DF91" s="1" t="str">
        <f t="shared" si="26"/>
        <v>|</v>
      </c>
      <c r="DG91" s="1" t="str">
        <f>IFERROR(VLOOKUP(DF91,スクリプト_フロー!$A:$F,5,FALSE),"")</f>
        <v/>
      </c>
    </row>
    <row r="92" spans="1:111" ht="21">
      <c r="A92" s="1">
        <v>91</v>
      </c>
      <c r="B92" s="1" t="s">
        <v>271</v>
      </c>
      <c r="C92" s="1" t="s">
        <v>272</v>
      </c>
      <c r="D92" s="1" t="s">
        <v>62</v>
      </c>
      <c r="E92" s="6"/>
      <c r="F92" s="6"/>
      <c r="G92" s="6" t="s">
        <v>34</v>
      </c>
      <c r="H92" s="6"/>
      <c r="I92" s="4" t="str">
        <f>SUBSTITUTE(SUBSTITUTE(SUBSTITUTE(SUBSTITUTE(SUBSTITUTE(SUBSTITUTE(SUBSTITUTE(SUBSTITUTE(SUBSTITUTE(SUBSTITUTE(SUBSTITUTE(Q92,"{会社}",設定!$B$3),"{自分}",設定!$B$4),"{サービス}",設定!$B$5),"{料金}",設定!$B$7),"{日付1}",設定!$B$8),"{日付2}",設定!$B$9),"{時間1}",設定!$B$10),"{時間2}",設定!$B$11),"{時間}","（指定時間）"),"{日付確定}","（確定日）"),"{時間確定}","（確定時間）")</f>
        <v/>
      </c>
      <c r="J92" s="1" t="str">
        <f>IFERROR(VLOOKUP(P92,スクリプト_フロー!$A:$F,4,FALSE),"")</f>
        <v/>
      </c>
      <c r="K92" s="6" t="s">
        <v>35</v>
      </c>
      <c r="L92" s="6"/>
      <c r="M92" s="6"/>
      <c r="N92" s="6"/>
      <c r="O92" s="1"/>
      <c r="P92" s="1" t="str">
        <f t="shared" si="18"/>
        <v>①架電|</v>
      </c>
      <c r="Q92" s="1" t="str">
        <f>IFERROR(VLOOKUP(P92,スクリプト_フロー!$A:$F,5,FALSE),"")</f>
        <v/>
      </c>
      <c r="R92" s="6" t="str">
        <f t="shared" si="19"/>
        <v/>
      </c>
      <c r="S92" s="6"/>
      <c r="T92" s="4" t="str">
        <f>IF(DA92="","",SUBSTITUTE(SUBSTITUTE(SUBSTITUTE(SUBSTITUTE(SUBSTITUTE(SUBSTITUTE(SUBSTITUTE(SUBSTITUTE(SUBSTITUTE(SUBSTITUTE(SUBSTITUTE(DA92,"{会社}",設定!$B$3),"{自分}",設定!$B$4),"{サービス}",設定!$B$5),"{料金}",設定!$B$7),"{日付1}",設定!$B$8),"{日付2}",設定!$B$9),"{時間1}",設定!$B$10),"{時間2}",設定!$B$11),"{時間}","（指定時間）"),"{日付確定}","（確定日）"),"{時間確定}","（確定時間）"))</f>
        <v/>
      </c>
      <c r="U92" s="1" t="str">
        <f>IFERROR(VLOOKUP(CZ92,スクリプト_フロー!$A:$F,4,FALSE),"")</f>
        <v/>
      </c>
      <c r="V92" s="6" t="str">
        <f t="shared" si="20"/>
        <v/>
      </c>
      <c r="W92" s="6"/>
      <c r="X92" s="4" t="str">
        <f>IF(DC92="","",SUBSTITUTE(SUBSTITUTE(SUBSTITUTE(SUBSTITUTE(SUBSTITUTE(SUBSTITUTE(SUBSTITUTE(SUBSTITUTE(SUBSTITUTE(SUBSTITUTE(SUBSTITUTE(DC92,"{会社}",設定!$B$3),"{自分}",設定!$B$4),"{サービス}",設定!$B$5),"{料金}",設定!$B$7),"{日付1}",設定!$B$8),"{日付2}",設定!$B$9),"{時間1}",設定!$B$10),"{時間2}",設定!$B$11),"{時間}","（指定時間）"),"{日付確定}","（確定日）"),"{時間確定}","（確定時間）"))</f>
        <v/>
      </c>
      <c r="Y92" s="1" t="str">
        <f>IFERROR(VLOOKUP(DB92,スクリプト_フロー!$A:$F,4,FALSE),"")</f>
        <v/>
      </c>
      <c r="Z92" s="6" t="str">
        <f t="shared" si="21"/>
        <v/>
      </c>
      <c r="AA92" s="6"/>
      <c r="AB92" s="4" t="str">
        <f>IF(DE92="","",SUBSTITUTE(SUBSTITUTE(SUBSTITUTE(SUBSTITUTE(SUBSTITUTE(SUBSTITUTE(SUBSTITUTE(SUBSTITUTE(SUBSTITUTE(SUBSTITUTE(SUBSTITUTE(DE92,"{会社}",設定!$B$3),"{自分}",設定!$B$4),"{サービス}",設定!$B$5),"{料金}",設定!$B$7),"{日付1}",設定!$B$8),"{日付2}",設定!$B$9),"{時間1}",設定!$B$10),"{時間2}",設定!$B$11),"{時間}","（指定時間）"),"{日付確定}","（確定日）"),"{時間確定}","（確定時間）"))</f>
        <v/>
      </c>
      <c r="AC92" s="1" t="str">
        <f>IFERROR(VLOOKUP(DD92,スクリプト_フロー!$A:$F,4,FALSE),"")</f>
        <v/>
      </c>
      <c r="AD92" s="6" t="str">
        <f t="shared" si="22"/>
        <v/>
      </c>
      <c r="AE92" s="6"/>
      <c r="AF92" s="4" t="str">
        <f>IF(DG92="","",SUBSTITUTE(SUBSTITUTE(SUBSTITUTE(SUBSTITUTE(SUBSTITUTE(SUBSTITUTE(SUBSTITUTE(SUBSTITUTE(SUBSTITUTE(SUBSTITUTE(SUBSTITUTE(DG92,"{会社}",設定!$B$3),"{自分}",設定!$B$4),"{サービス}",設定!$B$5),"{料金}",設定!$B$7),"{日付1}",設定!$B$8),"{日付2}",設定!$B$9),"{時間1}",設定!$B$10),"{時間2}",設定!$B$11),"{時間}","（指定時間）"),"{日付確定}","（確定日）"),"{時間確定}","（確定時間）"))</f>
        <v/>
      </c>
      <c r="AG92" s="1" t="str">
        <f>IFERROR(VLOOKUP(DF92,スクリプト_フロー!$A:$F,4,FALSE),"")</f>
        <v/>
      </c>
      <c r="CZ92" s="1" t="str">
        <f t="shared" si="23"/>
        <v>|</v>
      </c>
      <c r="DA92" s="1" t="str">
        <f>IFERROR(VLOOKUP(CZ92,スクリプト_フロー!$A:$F,5,FALSE),"")</f>
        <v/>
      </c>
      <c r="DB92" s="1" t="str">
        <f t="shared" si="24"/>
        <v>|</v>
      </c>
      <c r="DC92" s="1" t="str">
        <f>IFERROR(VLOOKUP(DB92,スクリプト_フロー!$A:$F,5,FALSE),"")</f>
        <v/>
      </c>
      <c r="DD92" s="1" t="str">
        <f t="shared" si="25"/>
        <v>|</v>
      </c>
      <c r="DE92" s="1" t="str">
        <f>IFERROR(VLOOKUP(DD92,スクリプト_フロー!$A:$F,5,FALSE),"")</f>
        <v/>
      </c>
      <c r="DF92" s="1" t="str">
        <f t="shared" si="26"/>
        <v>|</v>
      </c>
      <c r="DG92" s="1" t="str">
        <f>IFERROR(VLOOKUP(DF92,スクリプト_フロー!$A:$F,5,FALSE),"")</f>
        <v/>
      </c>
    </row>
    <row r="93" spans="1:111" ht="21">
      <c r="A93" s="1">
        <v>92</v>
      </c>
      <c r="B93" s="1" t="s">
        <v>273</v>
      </c>
      <c r="C93" s="1" t="s">
        <v>274</v>
      </c>
      <c r="D93" s="1" t="s">
        <v>62</v>
      </c>
      <c r="E93" s="6"/>
      <c r="F93" s="6"/>
      <c r="G93" s="6" t="s">
        <v>34</v>
      </c>
      <c r="H93" s="6"/>
      <c r="I93" s="4" t="str">
        <f>SUBSTITUTE(SUBSTITUTE(SUBSTITUTE(SUBSTITUTE(SUBSTITUTE(SUBSTITUTE(SUBSTITUTE(SUBSTITUTE(SUBSTITUTE(SUBSTITUTE(SUBSTITUTE(Q93,"{会社}",設定!$B$3),"{自分}",設定!$B$4),"{サービス}",設定!$B$5),"{料金}",設定!$B$7),"{日付1}",設定!$B$8),"{日付2}",設定!$B$9),"{時間1}",設定!$B$10),"{時間2}",設定!$B$11),"{時間}","（指定時間）"),"{日付確定}","（確定日）"),"{時間確定}","（確定時間）")</f>
        <v/>
      </c>
      <c r="J93" s="1" t="str">
        <f>IFERROR(VLOOKUP(P93,スクリプト_フロー!$A:$F,4,FALSE),"")</f>
        <v/>
      </c>
      <c r="K93" s="6" t="s">
        <v>35</v>
      </c>
      <c r="L93" s="6"/>
      <c r="M93" s="6"/>
      <c r="N93" s="6"/>
      <c r="O93" s="1"/>
      <c r="P93" s="1" t="str">
        <f t="shared" si="18"/>
        <v>①架電|</v>
      </c>
      <c r="Q93" s="1" t="str">
        <f>IFERROR(VLOOKUP(P93,スクリプト_フロー!$A:$F,5,FALSE),"")</f>
        <v/>
      </c>
      <c r="R93" s="6" t="str">
        <f t="shared" si="19"/>
        <v/>
      </c>
      <c r="S93" s="6"/>
      <c r="T93" s="4" t="str">
        <f>IF(DA93="","",SUBSTITUTE(SUBSTITUTE(SUBSTITUTE(SUBSTITUTE(SUBSTITUTE(SUBSTITUTE(SUBSTITUTE(SUBSTITUTE(SUBSTITUTE(SUBSTITUTE(SUBSTITUTE(DA93,"{会社}",設定!$B$3),"{自分}",設定!$B$4),"{サービス}",設定!$B$5),"{料金}",設定!$B$7),"{日付1}",設定!$B$8),"{日付2}",設定!$B$9),"{時間1}",設定!$B$10),"{時間2}",設定!$B$11),"{時間}","（指定時間）"),"{日付確定}","（確定日）"),"{時間確定}","（確定時間）"))</f>
        <v/>
      </c>
      <c r="U93" s="1" t="str">
        <f>IFERROR(VLOOKUP(CZ93,スクリプト_フロー!$A:$F,4,FALSE),"")</f>
        <v/>
      </c>
      <c r="V93" s="6" t="str">
        <f t="shared" si="20"/>
        <v/>
      </c>
      <c r="W93" s="6"/>
      <c r="X93" s="4" t="str">
        <f>IF(DC93="","",SUBSTITUTE(SUBSTITUTE(SUBSTITUTE(SUBSTITUTE(SUBSTITUTE(SUBSTITUTE(SUBSTITUTE(SUBSTITUTE(SUBSTITUTE(SUBSTITUTE(SUBSTITUTE(DC93,"{会社}",設定!$B$3),"{自分}",設定!$B$4),"{サービス}",設定!$B$5),"{料金}",設定!$B$7),"{日付1}",設定!$B$8),"{日付2}",設定!$B$9),"{時間1}",設定!$B$10),"{時間2}",設定!$B$11),"{時間}","（指定時間）"),"{日付確定}","（確定日）"),"{時間確定}","（確定時間）"))</f>
        <v/>
      </c>
      <c r="Y93" s="1" t="str">
        <f>IFERROR(VLOOKUP(DB93,スクリプト_フロー!$A:$F,4,FALSE),"")</f>
        <v/>
      </c>
      <c r="Z93" s="6" t="str">
        <f t="shared" si="21"/>
        <v/>
      </c>
      <c r="AA93" s="6"/>
      <c r="AB93" s="4" t="str">
        <f>IF(DE93="","",SUBSTITUTE(SUBSTITUTE(SUBSTITUTE(SUBSTITUTE(SUBSTITUTE(SUBSTITUTE(SUBSTITUTE(SUBSTITUTE(SUBSTITUTE(SUBSTITUTE(SUBSTITUTE(DE93,"{会社}",設定!$B$3),"{自分}",設定!$B$4),"{サービス}",設定!$B$5),"{料金}",設定!$B$7),"{日付1}",設定!$B$8),"{日付2}",設定!$B$9),"{時間1}",設定!$B$10),"{時間2}",設定!$B$11),"{時間}","（指定時間）"),"{日付確定}","（確定日）"),"{時間確定}","（確定時間）"))</f>
        <v/>
      </c>
      <c r="AC93" s="1" t="str">
        <f>IFERROR(VLOOKUP(DD93,スクリプト_フロー!$A:$F,4,FALSE),"")</f>
        <v/>
      </c>
      <c r="AD93" s="6" t="str">
        <f t="shared" si="22"/>
        <v/>
      </c>
      <c r="AE93" s="6"/>
      <c r="AF93" s="4" t="str">
        <f>IF(DG93="","",SUBSTITUTE(SUBSTITUTE(SUBSTITUTE(SUBSTITUTE(SUBSTITUTE(SUBSTITUTE(SUBSTITUTE(SUBSTITUTE(SUBSTITUTE(SUBSTITUTE(SUBSTITUTE(DG93,"{会社}",設定!$B$3),"{自分}",設定!$B$4),"{サービス}",設定!$B$5),"{料金}",設定!$B$7),"{日付1}",設定!$B$8),"{日付2}",設定!$B$9),"{時間1}",設定!$B$10),"{時間2}",設定!$B$11),"{時間}","（指定時間）"),"{日付確定}","（確定日）"),"{時間確定}","（確定時間）"))</f>
        <v/>
      </c>
      <c r="AG93" s="1" t="str">
        <f>IFERROR(VLOOKUP(DF93,スクリプト_フロー!$A:$F,4,FALSE),"")</f>
        <v/>
      </c>
      <c r="CZ93" s="1" t="str">
        <f t="shared" si="23"/>
        <v>|</v>
      </c>
      <c r="DA93" s="1" t="str">
        <f>IFERROR(VLOOKUP(CZ93,スクリプト_フロー!$A:$F,5,FALSE),"")</f>
        <v/>
      </c>
      <c r="DB93" s="1" t="str">
        <f t="shared" si="24"/>
        <v>|</v>
      </c>
      <c r="DC93" s="1" t="str">
        <f>IFERROR(VLOOKUP(DB93,スクリプト_フロー!$A:$F,5,FALSE),"")</f>
        <v/>
      </c>
      <c r="DD93" s="1" t="str">
        <f t="shared" si="25"/>
        <v>|</v>
      </c>
      <c r="DE93" s="1" t="str">
        <f>IFERROR(VLOOKUP(DD93,スクリプト_フロー!$A:$F,5,FALSE),"")</f>
        <v/>
      </c>
      <c r="DF93" s="1" t="str">
        <f t="shared" si="26"/>
        <v>|</v>
      </c>
      <c r="DG93" s="1" t="str">
        <f>IFERROR(VLOOKUP(DF93,スクリプト_フロー!$A:$F,5,FALSE),"")</f>
        <v/>
      </c>
    </row>
    <row r="94" spans="1:111" ht="21">
      <c r="A94" s="1">
        <v>93</v>
      </c>
      <c r="B94" s="1" t="s">
        <v>275</v>
      </c>
      <c r="C94" s="1" t="s">
        <v>276</v>
      </c>
      <c r="D94" s="1" t="s">
        <v>62</v>
      </c>
      <c r="E94" s="6"/>
      <c r="F94" s="6"/>
      <c r="G94" s="6" t="s">
        <v>34</v>
      </c>
      <c r="H94" s="6"/>
      <c r="I94" s="4" t="str">
        <f>SUBSTITUTE(SUBSTITUTE(SUBSTITUTE(SUBSTITUTE(SUBSTITUTE(SUBSTITUTE(SUBSTITUTE(SUBSTITUTE(SUBSTITUTE(SUBSTITUTE(SUBSTITUTE(Q94,"{会社}",設定!$B$3),"{自分}",設定!$B$4),"{サービス}",設定!$B$5),"{料金}",設定!$B$7),"{日付1}",設定!$B$8),"{日付2}",設定!$B$9),"{時間1}",設定!$B$10),"{時間2}",設定!$B$11),"{時間}","（指定時間）"),"{日付確定}","（確定日）"),"{時間確定}","（確定時間）")</f>
        <v/>
      </c>
      <c r="J94" s="1" t="str">
        <f>IFERROR(VLOOKUP(P94,スクリプト_フロー!$A:$F,4,FALSE),"")</f>
        <v/>
      </c>
      <c r="K94" s="6" t="s">
        <v>35</v>
      </c>
      <c r="L94" s="6"/>
      <c r="M94" s="6"/>
      <c r="N94" s="6"/>
      <c r="O94" s="1"/>
      <c r="P94" s="1" t="str">
        <f t="shared" si="18"/>
        <v>①架電|</v>
      </c>
      <c r="Q94" s="1" t="str">
        <f>IFERROR(VLOOKUP(P94,スクリプト_フロー!$A:$F,5,FALSE),"")</f>
        <v/>
      </c>
      <c r="R94" s="6" t="str">
        <f t="shared" si="19"/>
        <v/>
      </c>
      <c r="S94" s="6"/>
      <c r="T94" s="4" t="str">
        <f>IF(DA94="","",SUBSTITUTE(SUBSTITUTE(SUBSTITUTE(SUBSTITUTE(SUBSTITUTE(SUBSTITUTE(SUBSTITUTE(SUBSTITUTE(SUBSTITUTE(SUBSTITUTE(SUBSTITUTE(DA94,"{会社}",設定!$B$3),"{自分}",設定!$B$4),"{サービス}",設定!$B$5),"{料金}",設定!$B$7),"{日付1}",設定!$B$8),"{日付2}",設定!$B$9),"{時間1}",設定!$B$10),"{時間2}",設定!$B$11),"{時間}","（指定時間）"),"{日付確定}","（確定日）"),"{時間確定}","（確定時間）"))</f>
        <v/>
      </c>
      <c r="U94" s="1" t="str">
        <f>IFERROR(VLOOKUP(CZ94,スクリプト_フロー!$A:$F,4,FALSE),"")</f>
        <v/>
      </c>
      <c r="V94" s="6" t="str">
        <f t="shared" si="20"/>
        <v/>
      </c>
      <c r="W94" s="6"/>
      <c r="X94" s="4" t="str">
        <f>IF(DC94="","",SUBSTITUTE(SUBSTITUTE(SUBSTITUTE(SUBSTITUTE(SUBSTITUTE(SUBSTITUTE(SUBSTITUTE(SUBSTITUTE(SUBSTITUTE(SUBSTITUTE(SUBSTITUTE(DC94,"{会社}",設定!$B$3),"{自分}",設定!$B$4),"{サービス}",設定!$B$5),"{料金}",設定!$B$7),"{日付1}",設定!$B$8),"{日付2}",設定!$B$9),"{時間1}",設定!$B$10),"{時間2}",設定!$B$11),"{時間}","（指定時間）"),"{日付確定}","（確定日）"),"{時間確定}","（確定時間）"))</f>
        <v/>
      </c>
      <c r="Y94" s="1" t="str">
        <f>IFERROR(VLOOKUP(DB94,スクリプト_フロー!$A:$F,4,FALSE),"")</f>
        <v/>
      </c>
      <c r="Z94" s="6" t="str">
        <f t="shared" si="21"/>
        <v/>
      </c>
      <c r="AA94" s="6"/>
      <c r="AB94" s="4" t="str">
        <f>IF(DE94="","",SUBSTITUTE(SUBSTITUTE(SUBSTITUTE(SUBSTITUTE(SUBSTITUTE(SUBSTITUTE(SUBSTITUTE(SUBSTITUTE(SUBSTITUTE(SUBSTITUTE(SUBSTITUTE(DE94,"{会社}",設定!$B$3),"{自分}",設定!$B$4),"{サービス}",設定!$B$5),"{料金}",設定!$B$7),"{日付1}",設定!$B$8),"{日付2}",設定!$B$9),"{時間1}",設定!$B$10),"{時間2}",設定!$B$11),"{時間}","（指定時間）"),"{日付確定}","（確定日）"),"{時間確定}","（確定時間）"))</f>
        <v/>
      </c>
      <c r="AC94" s="1" t="str">
        <f>IFERROR(VLOOKUP(DD94,スクリプト_フロー!$A:$F,4,FALSE),"")</f>
        <v/>
      </c>
      <c r="AD94" s="6" t="str">
        <f t="shared" si="22"/>
        <v/>
      </c>
      <c r="AE94" s="6"/>
      <c r="AF94" s="4" t="str">
        <f>IF(DG94="","",SUBSTITUTE(SUBSTITUTE(SUBSTITUTE(SUBSTITUTE(SUBSTITUTE(SUBSTITUTE(SUBSTITUTE(SUBSTITUTE(SUBSTITUTE(SUBSTITUTE(SUBSTITUTE(DG94,"{会社}",設定!$B$3),"{自分}",設定!$B$4),"{サービス}",設定!$B$5),"{料金}",設定!$B$7),"{日付1}",設定!$B$8),"{日付2}",設定!$B$9),"{時間1}",設定!$B$10),"{時間2}",設定!$B$11),"{時間}","（指定時間）"),"{日付確定}","（確定日）"),"{時間確定}","（確定時間）"))</f>
        <v/>
      </c>
      <c r="AG94" s="1" t="str">
        <f>IFERROR(VLOOKUP(DF94,スクリプト_フロー!$A:$F,4,FALSE),"")</f>
        <v/>
      </c>
      <c r="CZ94" s="1" t="str">
        <f t="shared" si="23"/>
        <v>|</v>
      </c>
      <c r="DA94" s="1" t="str">
        <f>IFERROR(VLOOKUP(CZ94,スクリプト_フロー!$A:$F,5,FALSE),"")</f>
        <v/>
      </c>
      <c r="DB94" s="1" t="str">
        <f t="shared" si="24"/>
        <v>|</v>
      </c>
      <c r="DC94" s="1" t="str">
        <f>IFERROR(VLOOKUP(DB94,スクリプト_フロー!$A:$F,5,FALSE),"")</f>
        <v/>
      </c>
      <c r="DD94" s="1" t="str">
        <f t="shared" si="25"/>
        <v>|</v>
      </c>
      <c r="DE94" s="1" t="str">
        <f>IFERROR(VLOOKUP(DD94,スクリプト_フロー!$A:$F,5,FALSE),"")</f>
        <v/>
      </c>
      <c r="DF94" s="1" t="str">
        <f t="shared" si="26"/>
        <v>|</v>
      </c>
      <c r="DG94" s="1" t="str">
        <f>IFERROR(VLOOKUP(DF94,スクリプト_フロー!$A:$F,5,FALSE),"")</f>
        <v/>
      </c>
    </row>
    <row r="95" spans="1:111" ht="21">
      <c r="A95" s="1">
        <v>94</v>
      </c>
      <c r="B95" s="1" t="s">
        <v>277</v>
      </c>
      <c r="C95" s="1" t="s">
        <v>278</v>
      </c>
      <c r="D95" s="1" t="s">
        <v>62</v>
      </c>
      <c r="E95" s="6"/>
      <c r="F95" s="6"/>
      <c r="G95" s="6" t="s">
        <v>34</v>
      </c>
      <c r="H95" s="6"/>
      <c r="I95" s="4" t="str">
        <f>SUBSTITUTE(SUBSTITUTE(SUBSTITUTE(SUBSTITUTE(SUBSTITUTE(SUBSTITUTE(SUBSTITUTE(SUBSTITUTE(SUBSTITUTE(SUBSTITUTE(SUBSTITUTE(Q95,"{会社}",設定!$B$3),"{自分}",設定!$B$4),"{サービス}",設定!$B$5),"{料金}",設定!$B$7),"{日付1}",設定!$B$8),"{日付2}",設定!$B$9),"{時間1}",設定!$B$10),"{時間2}",設定!$B$11),"{時間}","（指定時間）"),"{日付確定}","（確定日）"),"{時間確定}","（確定時間）")</f>
        <v/>
      </c>
      <c r="J95" s="1" t="str">
        <f>IFERROR(VLOOKUP(P95,スクリプト_フロー!$A:$F,4,FALSE),"")</f>
        <v/>
      </c>
      <c r="K95" s="6" t="s">
        <v>35</v>
      </c>
      <c r="L95" s="6"/>
      <c r="M95" s="6"/>
      <c r="N95" s="6"/>
      <c r="O95" s="1"/>
      <c r="P95" s="1" t="str">
        <f t="shared" si="18"/>
        <v>①架電|</v>
      </c>
      <c r="Q95" s="1" t="str">
        <f>IFERROR(VLOOKUP(P95,スクリプト_フロー!$A:$F,5,FALSE),"")</f>
        <v/>
      </c>
      <c r="R95" s="6" t="str">
        <f t="shared" si="19"/>
        <v/>
      </c>
      <c r="S95" s="6"/>
      <c r="T95" s="4" t="str">
        <f>IF(DA95="","",SUBSTITUTE(SUBSTITUTE(SUBSTITUTE(SUBSTITUTE(SUBSTITUTE(SUBSTITUTE(SUBSTITUTE(SUBSTITUTE(SUBSTITUTE(SUBSTITUTE(SUBSTITUTE(DA95,"{会社}",設定!$B$3),"{自分}",設定!$B$4),"{サービス}",設定!$B$5),"{料金}",設定!$B$7),"{日付1}",設定!$B$8),"{日付2}",設定!$B$9),"{時間1}",設定!$B$10),"{時間2}",設定!$B$11),"{時間}","（指定時間）"),"{日付確定}","（確定日）"),"{時間確定}","（確定時間）"))</f>
        <v/>
      </c>
      <c r="U95" s="1" t="str">
        <f>IFERROR(VLOOKUP(CZ95,スクリプト_フロー!$A:$F,4,FALSE),"")</f>
        <v/>
      </c>
      <c r="V95" s="6" t="str">
        <f t="shared" si="20"/>
        <v/>
      </c>
      <c r="W95" s="6"/>
      <c r="X95" s="4" t="str">
        <f>IF(DC95="","",SUBSTITUTE(SUBSTITUTE(SUBSTITUTE(SUBSTITUTE(SUBSTITUTE(SUBSTITUTE(SUBSTITUTE(SUBSTITUTE(SUBSTITUTE(SUBSTITUTE(SUBSTITUTE(DC95,"{会社}",設定!$B$3),"{自分}",設定!$B$4),"{サービス}",設定!$B$5),"{料金}",設定!$B$7),"{日付1}",設定!$B$8),"{日付2}",設定!$B$9),"{時間1}",設定!$B$10),"{時間2}",設定!$B$11),"{時間}","（指定時間）"),"{日付確定}","（確定日）"),"{時間確定}","（確定時間）"))</f>
        <v/>
      </c>
      <c r="Y95" s="1" t="str">
        <f>IFERROR(VLOOKUP(DB95,スクリプト_フロー!$A:$F,4,FALSE),"")</f>
        <v/>
      </c>
      <c r="Z95" s="6" t="str">
        <f t="shared" si="21"/>
        <v/>
      </c>
      <c r="AA95" s="6"/>
      <c r="AB95" s="4" t="str">
        <f>IF(DE95="","",SUBSTITUTE(SUBSTITUTE(SUBSTITUTE(SUBSTITUTE(SUBSTITUTE(SUBSTITUTE(SUBSTITUTE(SUBSTITUTE(SUBSTITUTE(SUBSTITUTE(SUBSTITUTE(DE95,"{会社}",設定!$B$3),"{自分}",設定!$B$4),"{サービス}",設定!$B$5),"{料金}",設定!$B$7),"{日付1}",設定!$B$8),"{日付2}",設定!$B$9),"{時間1}",設定!$B$10),"{時間2}",設定!$B$11),"{時間}","（指定時間）"),"{日付確定}","（確定日）"),"{時間確定}","（確定時間）"))</f>
        <v/>
      </c>
      <c r="AC95" s="1" t="str">
        <f>IFERROR(VLOOKUP(DD95,スクリプト_フロー!$A:$F,4,FALSE),"")</f>
        <v/>
      </c>
      <c r="AD95" s="6" t="str">
        <f t="shared" si="22"/>
        <v/>
      </c>
      <c r="AE95" s="6"/>
      <c r="AF95" s="4" t="str">
        <f>IF(DG95="","",SUBSTITUTE(SUBSTITUTE(SUBSTITUTE(SUBSTITUTE(SUBSTITUTE(SUBSTITUTE(SUBSTITUTE(SUBSTITUTE(SUBSTITUTE(SUBSTITUTE(SUBSTITUTE(DG95,"{会社}",設定!$B$3),"{自分}",設定!$B$4),"{サービス}",設定!$B$5),"{料金}",設定!$B$7),"{日付1}",設定!$B$8),"{日付2}",設定!$B$9),"{時間1}",設定!$B$10),"{時間2}",設定!$B$11),"{時間}","（指定時間）"),"{日付確定}","（確定日）"),"{時間確定}","（確定時間）"))</f>
        <v/>
      </c>
      <c r="AG95" s="1" t="str">
        <f>IFERROR(VLOOKUP(DF95,スクリプト_フロー!$A:$F,4,FALSE),"")</f>
        <v/>
      </c>
      <c r="CZ95" s="1" t="str">
        <f t="shared" si="23"/>
        <v>|</v>
      </c>
      <c r="DA95" s="1" t="str">
        <f>IFERROR(VLOOKUP(CZ95,スクリプト_フロー!$A:$F,5,FALSE),"")</f>
        <v/>
      </c>
      <c r="DB95" s="1" t="str">
        <f t="shared" si="24"/>
        <v>|</v>
      </c>
      <c r="DC95" s="1" t="str">
        <f>IFERROR(VLOOKUP(DB95,スクリプト_フロー!$A:$F,5,FALSE),"")</f>
        <v/>
      </c>
      <c r="DD95" s="1" t="str">
        <f t="shared" si="25"/>
        <v>|</v>
      </c>
      <c r="DE95" s="1" t="str">
        <f>IFERROR(VLOOKUP(DD95,スクリプト_フロー!$A:$F,5,FALSE),"")</f>
        <v/>
      </c>
      <c r="DF95" s="1" t="str">
        <f t="shared" si="26"/>
        <v>|</v>
      </c>
      <c r="DG95" s="1" t="str">
        <f>IFERROR(VLOOKUP(DF95,スクリプト_フロー!$A:$F,5,FALSE),"")</f>
        <v/>
      </c>
    </row>
    <row r="96" spans="1:111" ht="21">
      <c r="A96" s="1">
        <v>95</v>
      </c>
      <c r="B96" s="1" t="s">
        <v>279</v>
      </c>
      <c r="C96" s="1" t="s">
        <v>280</v>
      </c>
      <c r="D96" s="1" t="s">
        <v>62</v>
      </c>
      <c r="E96" s="6"/>
      <c r="F96" s="6"/>
      <c r="G96" s="6" t="s">
        <v>34</v>
      </c>
      <c r="H96" s="6"/>
      <c r="I96" s="4" t="str">
        <f>SUBSTITUTE(SUBSTITUTE(SUBSTITUTE(SUBSTITUTE(SUBSTITUTE(SUBSTITUTE(SUBSTITUTE(SUBSTITUTE(SUBSTITUTE(SUBSTITUTE(SUBSTITUTE(Q96,"{会社}",設定!$B$3),"{自分}",設定!$B$4),"{サービス}",設定!$B$5),"{料金}",設定!$B$7),"{日付1}",設定!$B$8),"{日付2}",設定!$B$9),"{時間1}",設定!$B$10),"{時間2}",設定!$B$11),"{時間}","（指定時間）"),"{日付確定}","（確定日）"),"{時間確定}","（確定時間）")</f>
        <v/>
      </c>
      <c r="J96" s="1" t="str">
        <f>IFERROR(VLOOKUP(P96,スクリプト_フロー!$A:$F,4,FALSE),"")</f>
        <v/>
      </c>
      <c r="K96" s="6" t="s">
        <v>35</v>
      </c>
      <c r="L96" s="6"/>
      <c r="M96" s="6"/>
      <c r="N96" s="6"/>
      <c r="O96" s="1"/>
      <c r="P96" s="1" t="str">
        <f t="shared" si="18"/>
        <v>①架電|</v>
      </c>
      <c r="Q96" s="1" t="str">
        <f>IFERROR(VLOOKUP(P96,スクリプト_フロー!$A:$F,5,FALSE),"")</f>
        <v/>
      </c>
      <c r="R96" s="6" t="str">
        <f t="shared" si="19"/>
        <v/>
      </c>
      <c r="S96" s="6"/>
      <c r="T96" s="4" t="str">
        <f>IF(DA96="","",SUBSTITUTE(SUBSTITUTE(SUBSTITUTE(SUBSTITUTE(SUBSTITUTE(SUBSTITUTE(SUBSTITUTE(SUBSTITUTE(SUBSTITUTE(SUBSTITUTE(SUBSTITUTE(DA96,"{会社}",設定!$B$3),"{自分}",設定!$B$4),"{サービス}",設定!$B$5),"{料金}",設定!$B$7),"{日付1}",設定!$B$8),"{日付2}",設定!$B$9),"{時間1}",設定!$B$10),"{時間2}",設定!$B$11),"{時間}","（指定時間）"),"{日付確定}","（確定日）"),"{時間確定}","（確定時間）"))</f>
        <v/>
      </c>
      <c r="U96" s="1" t="str">
        <f>IFERROR(VLOOKUP(CZ96,スクリプト_フロー!$A:$F,4,FALSE),"")</f>
        <v/>
      </c>
      <c r="V96" s="6" t="str">
        <f t="shared" si="20"/>
        <v/>
      </c>
      <c r="W96" s="6"/>
      <c r="X96" s="4" t="str">
        <f>IF(DC96="","",SUBSTITUTE(SUBSTITUTE(SUBSTITUTE(SUBSTITUTE(SUBSTITUTE(SUBSTITUTE(SUBSTITUTE(SUBSTITUTE(SUBSTITUTE(SUBSTITUTE(SUBSTITUTE(DC96,"{会社}",設定!$B$3),"{自分}",設定!$B$4),"{サービス}",設定!$B$5),"{料金}",設定!$B$7),"{日付1}",設定!$B$8),"{日付2}",設定!$B$9),"{時間1}",設定!$B$10),"{時間2}",設定!$B$11),"{時間}","（指定時間）"),"{日付確定}","（確定日）"),"{時間確定}","（確定時間）"))</f>
        <v/>
      </c>
      <c r="Y96" s="1" t="str">
        <f>IFERROR(VLOOKUP(DB96,スクリプト_フロー!$A:$F,4,FALSE),"")</f>
        <v/>
      </c>
      <c r="Z96" s="6" t="str">
        <f t="shared" si="21"/>
        <v/>
      </c>
      <c r="AA96" s="6"/>
      <c r="AB96" s="4" t="str">
        <f>IF(DE96="","",SUBSTITUTE(SUBSTITUTE(SUBSTITUTE(SUBSTITUTE(SUBSTITUTE(SUBSTITUTE(SUBSTITUTE(SUBSTITUTE(SUBSTITUTE(SUBSTITUTE(SUBSTITUTE(DE96,"{会社}",設定!$B$3),"{自分}",設定!$B$4),"{サービス}",設定!$B$5),"{料金}",設定!$B$7),"{日付1}",設定!$B$8),"{日付2}",設定!$B$9),"{時間1}",設定!$B$10),"{時間2}",設定!$B$11),"{時間}","（指定時間）"),"{日付確定}","（確定日）"),"{時間確定}","（確定時間）"))</f>
        <v/>
      </c>
      <c r="AC96" s="1" t="str">
        <f>IFERROR(VLOOKUP(DD96,スクリプト_フロー!$A:$F,4,FALSE),"")</f>
        <v/>
      </c>
      <c r="AD96" s="6" t="str">
        <f t="shared" si="22"/>
        <v/>
      </c>
      <c r="AE96" s="6"/>
      <c r="AF96" s="4" t="str">
        <f>IF(DG96="","",SUBSTITUTE(SUBSTITUTE(SUBSTITUTE(SUBSTITUTE(SUBSTITUTE(SUBSTITUTE(SUBSTITUTE(SUBSTITUTE(SUBSTITUTE(SUBSTITUTE(SUBSTITUTE(DG96,"{会社}",設定!$B$3),"{自分}",設定!$B$4),"{サービス}",設定!$B$5),"{料金}",設定!$B$7),"{日付1}",設定!$B$8),"{日付2}",設定!$B$9),"{時間1}",設定!$B$10),"{時間2}",設定!$B$11),"{時間}","（指定時間）"),"{日付確定}","（確定日）"),"{時間確定}","（確定時間）"))</f>
        <v/>
      </c>
      <c r="AG96" s="1" t="str">
        <f>IFERROR(VLOOKUP(DF96,スクリプト_フロー!$A:$F,4,FALSE),"")</f>
        <v/>
      </c>
      <c r="CZ96" s="1" t="str">
        <f t="shared" si="23"/>
        <v>|</v>
      </c>
      <c r="DA96" s="1" t="str">
        <f>IFERROR(VLOOKUP(CZ96,スクリプト_フロー!$A:$F,5,FALSE),"")</f>
        <v/>
      </c>
      <c r="DB96" s="1" t="str">
        <f t="shared" si="24"/>
        <v>|</v>
      </c>
      <c r="DC96" s="1" t="str">
        <f>IFERROR(VLOOKUP(DB96,スクリプト_フロー!$A:$F,5,FALSE),"")</f>
        <v/>
      </c>
      <c r="DD96" s="1" t="str">
        <f t="shared" si="25"/>
        <v>|</v>
      </c>
      <c r="DE96" s="1" t="str">
        <f>IFERROR(VLOOKUP(DD96,スクリプト_フロー!$A:$F,5,FALSE),"")</f>
        <v/>
      </c>
      <c r="DF96" s="1" t="str">
        <f t="shared" si="26"/>
        <v>|</v>
      </c>
      <c r="DG96" s="1" t="str">
        <f>IFERROR(VLOOKUP(DF96,スクリプト_フロー!$A:$F,5,FALSE),"")</f>
        <v/>
      </c>
    </row>
    <row r="97" spans="1:111" ht="21">
      <c r="A97" s="1">
        <v>96</v>
      </c>
      <c r="B97" s="1" t="s">
        <v>281</v>
      </c>
      <c r="C97" s="1" t="s">
        <v>282</v>
      </c>
      <c r="D97" s="1" t="s">
        <v>62</v>
      </c>
      <c r="E97" s="6"/>
      <c r="F97" s="6"/>
      <c r="G97" s="6" t="s">
        <v>34</v>
      </c>
      <c r="H97" s="6"/>
      <c r="I97" s="4" t="str">
        <f>SUBSTITUTE(SUBSTITUTE(SUBSTITUTE(SUBSTITUTE(SUBSTITUTE(SUBSTITUTE(SUBSTITUTE(SUBSTITUTE(SUBSTITUTE(SUBSTITUTE(SUBSTITUTE(Q97,"{会社}",設定!$B$3),"{自分}",設定!$B$4),"{サービス}",設定!$B$5),"{料金}",設定!$B$7),"{日付1}",設定!$B$8),"{日付2}",設定!$B$9),"{時間1}",設定!$B$10),"{時間2}",設定!$B$11),"{時間}","（指定時間）"),"{日付確定}","（確定日）"),"{時間確定}","（確定時間）")</f>
        <v/>
      </c>
      <c r="J97" s="1" t="str">
        <f>IFERROR(VLOOKUP(P97,スクリプト_フロー!$A:$F,4,FALSE),"")</f>
        <v/>
      </c>
      <c r="K97" s="6" t="s">
        <v>35</v>
      </c>
      <c r="L97" s="6"/>
      <c r="M97" s="6"/>
      <c r="N97" s="6"/>
      <c r="O97" s="1"/>
      <c r="P97" s="1" t="str">
        <f t="shared" si="18"/>
        <v>①架電|</v>
      </c>
      <c r="Q97" s="1" t="str">
        <f>IFERROR(VLOOKUP(P97,スクリプト_フロー!$A:$F,5,FALSE),"")</f>
        <v/>
      </c>
      <c r="R97" s="6" t="str">
        <f t="shared" si="19"/>
        <v/>
      </c>
      <c r="S97" s="6"/>
      <c r="T97" s="4" t="str">
        <f>IF(DA97="","",SUBSTITUTE(SUBSTITUTE(SUBSTITUTE(SUBSTITUTE(SUBSTITUTE(SUBSTITUTE(SUBSTITUTE(SUBSTITUTE(SUBSTITUTE(SUBSTITUTE(SUBSTITUTE(DA97,"{会社}",設定!$B$3),"{自分}",設定!$B$4),"{サービス}",設定!$B$5),"{料金}",設定!$B$7),"{日付1}",設定!$B$8),"{日付2}",設定!$B$9),"{時間1}",設定!$B$10),"{時間2}",設定!$B$11),"{時間}","（指定時間）"),"{日付確定}","（確定日）"),"{時間確定}","（確定時間）"))</f>
        <v/>
      </c>
      <c r="U97" s="1" t="str">
        <f>IFERROR(VLOOKUP(CZ97,スクリプト_フロー!$A:$F,4,FALSE),"")</f>
        <v/>
      </c>
      <c r="V97" s="6" t="str">
        <f t="shared" si="20"/>
        <v/>
      </c>
      <c r="W97" s="6"/>
      <c r="X97" s="4" t="str">
        <f>IF(DC97="","",SUBSTITUTE(SUBSTITUTE(SUBSTITUTE(SUBSTITUTE(SUBSTITUTE(SUBSTITUTE(SUBSTITUTE(SUBSTITUTE(SUBSTITUTE(SUBSTITUTE(SUBSTITUTE(DC97,"{会社}",設定!$B$3),"{自分}",設定!$B$4),"{サービス}",設定!$B$5),"{料金}",設定!$B$7),"{日付1}",設定!$B$8),"{日付2}",設定!$B$9),"{時間1}",設定!$B$10),"{時間2}",設定!$B$11),"{時間}","（指定時間）"),"{日付確定}","（確定日）"),"{時間確定}","（確定時間）"))</f>
        <v/>
      </c>
      <c r="Y97" s="1" t="str">
        <f>IFERROR(VLOOKUP(DB97,スクリプト_フロー!$A:$F,4,FALSE),"")</f>
        <v/>
      </c>
      <c r="Z97" s="6" t="str">
        <f t="shared" si="21"/>
        <v/>
      </c>
      <c r="AA97" s="6"/>
      <c r="AB97" s="4" t="str">
        <f>IF(DE97="","",SUBSTITUTE(SUBSTITUTE(SUBSTITUTE(SUBSTITUTE(SUBSTITUTE(SUBSTITUTE(SUBSTITUTE(SUBSTITUTE(SUBSTITUTE(SUBSTITUTE(SUBSTITUTE(DE97,"{会社}",設定!$B$3),"{自分}",設定!$B$4),"{サービス}",設定!$B$5),"{料金}",設定!$B$7),"{日付1}",設定!$B$8),"{日付2}",設定!$B$9),"{時間1}",設定!$B$10),"{時間2}",設定!$B$11),"{時間}","（指定時間）"),"{日付確定}","（確定日）"),"{時間確定}","（確定時間）"))</f>
        <v/>
      </c>
      <c r="AC97" s="1" t="str">
        <f>IFERROR(VLOOKUP(DD97,スクリプト_フロー!$A:$F,4,FALSE),"")</f>
        <v/>
      </c>
      <c r="AD97" s="6" t="str">
        <f t="shared" si="22"/>
        <v/>
      </c>
      <c r="AE97" s="6"/>
      <c r="AF97" s="4" t="str">
        <f>IF(DG97="","",SUBSTITUTE(SUBSTITUTE(SUBSTITUTE(SUBSTITUTE(SUBSTITUTE(SUBSTITUTE(SUBSTITUTE(SUBSTITUTE(SUBSTITUTE(SUBSTITUTE(SUBSTITUTE(DG97,"{会社}",設定!$B$3),"{自分}",設定!$B$4),"{サービス}",設定!$B$5),"{料金}",設定!$B$7),"{日付1}",設定!$B$8),"{日付2}",設定!$B$9),"{時間1}",設定!$B$10),"{時間2}",設定!$B$11),"{時間}","（指定時間）"),"{日付確定}","（確定日）"),"{時間確定}","（確定時間）"))</f>
        <v/>
      </c>
      <c r="AG97" s="1" t="str">
        <f>IFERROR(VLOOKUP(DF97,スクリプト_フロー!$A:$F,4,FALSE),"")</f>
        <v/>
      </c>
      <c r="CZ97" s="1" t="str">
        <f t="shared" si="23"/>
        <v>|</v>
      </c>
      <c r="DA97" s="1" t="str">
        <f>IFERROR(VLOOKUP(CZ97,スクリプト_フロー!$A:$F,5,FALSE),"")</f>
        <v/>
      </c>
      <c r="DB97" s="1" t="str">
        <f t="shared" si="24"/>
        <v>|</v>
      </c>
      <c r="DC97" s="1" t="str">
        <f>IFERROR(VLOOKUP(DB97,スクリプト_フロー!$A:$F,5,FALSE),"")</f>
        <v/>
      </c>
      <c r="DD97" s="1" t="str">
        <f t="shared" si="25"/>
        <v>|</v>
      </c>
      <c r="DE97" s="1" t="str">
        <f>IFERROR(VLOOKUP(DD97,スクリプト_フロー!$A:$F,5,FALSE),"")</f>
        <v/>
      </c>
      <c r="DF97" s="1" t="str">
        <f t="shared" si="26"/>
        <v>|</v>
      </c>
      <c r="DG97" s="1" t="str">
        <f>IFERROR(VLOOKUP(DF97,スクリプト_フロー!$A:$F,5,FALSE),"")</f>
        <v/>
      </c>
    </row>
    <row r="98" spans="1:111" ht="21">
      <c r="A98" s="1">
        <v>97</v>
      </c>
      <c r="B98" s="1" t="s">
        <v>283</v>
      </c>
      <c r="C98" s="1" t="s">
        <v>284</v>
      </c>
      <c r="D98" s="1" t="s">
        <v>62</v>
      </c>
      <c r="E98" s="6"/>
      <c r="F98" s="6"/>
      <c r="G98" s="6" t="s">
        <v>34</v>
      </c>
      <c r="H98" s="6"/>
      <c r="I98" s="4" t="str">
        <f>SUBSTITUTE(SUBSTITUTE(SUBSTITUTE(SUBSTITUTE(SUBSTITUTE(SUBSTITUTE(SUBSTITUTE(SUBSTITUTE(SUBSTITUTE(SUBSTITUTE(SUBSTITUTE(Q98,"{会社}",設定!$B$3),"{自分}",設定!$B$4),"{サービス}",設定!$B$5),"{料金}",設定!$B$7),"{日付1}",設定!$B$8),"{日付2}",設定!$B$9),"{時間1}",設定!$B$10),"{時間2}",設定!$B$11),"{時間}","（指定時間）"),"{日付確定}","（確定日）"),"{時間確定}","（確定時間）")</f>
        <v/>
      </c>
      <c r="J98" s="1" t="str">
        <f>IFERROR(VLOOKUP(P98,スクリプト_フロー!$A:$F,4,FALSE),"")</f>
        <v/>
      </c>
      <c r="K98" s="6" t="s">
        <v>35</v>
      </c>
      <c r="L98" s="6"/>
      <c r="M98" s="6"/>
      <c r="N98" s="6"/>
      <c r="O98" s="1"/>
      <c r="P98" s="1" t="str">
        <f t="shared" ref="P98:P129" si="27">G98&amp;"|"&amp;H98</f>
        <v>①架電|</v>
      </c>
      <c r="Q98" s="1" t="str">
        <f>IFERROR(VLOOKUP(P98,スクリプト_フロー!$A:$F,5,FALSE),"")</f>
        <v/>
      </c>
      <c r="R98" s="6" t="str">
        <f t="shared" ref="R98:R129" si="28">IF(J98="","",J98)</f>
        <v/>
      </c>
      <c r="S98" s="6"/>
      <c r="T98" s="4" t="str">
        <f>IF(DA98="","",SUBSTITUTE(SUBSTITUTE(SUBSTITUTE(SUBSTITUTE(SUBSTITUTE(SUBSTITUTE(SUBSTITUTE(SUBSTITUTE(SUBSTITUTE(SUBSTITUTE(SUBSTITUTE(DA98,"{会社}",設定!$B$3),"{自分}",設定!$B$4),"{サービス}",設定!$B$5),"{料金}",設定!$B$7),"{日付1}",設定!$B$8),"{日付2}",設定!$B$9),"{時間1}",設定!$B$10),"{時間2}",設定!$B$11),"{時間}","（指定時間）"),"{日付確定}","（確定日）"),"{時間確定}","（確定時間）"))</f>
        <v/>
      </c>
      <c r="U98" s="1" t="str">
        <f>IFERROR(VLOOKUP(CZ98,スクリプト_フロー!$A:$F,4,FALSE),"")</f>
        <v/>
      </c>
      <c r="V98" s="6" t="str">
        <f t="shared" ref="V98:V129" si="29">IF(U98="","",U98)</f>
        <v/>
      </c>
      <c r="W98" s="6"/>
      <c r="X98" s="4" t="str">
        <f>IF(DC98="","",SUBSTITUTE(SUBSTITUTE(SUBSTITUTE(SUBSTITUTE(SUBSTITUTE(SUBSTITUTE(SUBSTITUTE(SUBSTITUTE(SUBSTITUTE(SUBSTITUTE(SUBSTITUTE(DC98,"{会社}",設定!$B$3),"{自分}",設定!$B$4),"{サービス}",設定!$B$5),"{料金}",設定!$B$7),"{日付1}",設定!$B$8),"{日付2}",設定!$B$9),"{時間1}",設定!$B$10),"{時間2}",設定!$B$11),"{時間}","（指定時間）"),"{日付確定}","（確定日）"),"{時間確定}","（確定時間）"))</f>
        <v/>
      </c>
      <c r="Y98" s="1" t="str">
        <f>IFERROR(VLOOKUP(DB98,スクリプト_フロー!$A:$F,4,FALSE),"")</f>
        <v/>
      </c>
      <c r="Z98" s="6" t="str">
        <f t="shared" ref="Z98:Z129" si="30">IF(Y98="","",Y98)</f>
        <v/>
      </c>
      <c r="AA98" s="6"/>
      <c r="AB98" s="4" t="str">
        <f>IF(DE98="","",SUBSTITUTE(SUBSTITUTE(SUBSTITUTE(SUBSTITUTE(SUBSTITUTE(SUBSTITUTE(SUBSTITUTE(SUBSTITUTE(SUBSTITUTE(SUBSTITUTE(SUBSTITUTE(DE98,"{会社}",設定!$B$3),"{自分}",設定!$B$4),"{サービス}",設定!$B$5),"{料金}",設定!$B$7),"{日付1}",設定!$B$8),"{日付2}",設定!$B$9),"{時間1}",設定!$B$10),"{時間2}",設定!$B$11),"{時間}","（指定時間）"),"{日付確定}","（確定日）"),"{時間確定}","（確定時間）"))</f>
        <v/>
      </c>
      <c r="AC98" s="1" t="str">
        <f>IFERROR(VLOOKUP(DD98,スクリプト_フロー!$A:$F,4,FALSE),"")</f>
        <v/>
      </c>
      <c r="AD98" s="6" t="str">
        <f t="shared" ref="AD98:AD129" si="31">IF(AC98="","",AC98)</f>
        <v/>
      </c>
      <c r="AE98" s="6"/>
      <c r="AF98" s="4" t="str">
        <f>IF(DG98="","",SUBSTITUTE(SUBSTITUTE(SUBSTITUTE(SUBSTITUTE(SUBSTITUTE(SUBSTITUTE(SUBSTITUTE(SUBSTITUTE(SUBSTITUTE(SUBSTITUTE(SUBSTITUTE(DG98,"{会社}",設定!$B$3),"{自分}",設定!$B$4),"{サービス}",設定!$B$5),"{料金}",設定!$B$7),"{日付1}",設定!$B$8),"{日付2}",設定!$B$9),"{時間1}",設定!$B$10),"{時間2}",設定!$B$11),"{時間}","（指定時間）"),"{日付確定}","（確定日）"),"{時間確定}","（確定時間）"))</f>
        <v/>
      </c>
      <c r="AG98" s="1" t="str">
        <f>IFERROR(VLOOKUP(DF98,スクリプト_フロー!$A:$F,4,FALSE),"")</f>
        <v/>
      </c>
      <c r="CZ98" s="1" t="str">
        <f t="shared" ref="CZ98:CZ129" si="32">R98&amp;"|"&amp;S98</f>
        <v>|</v>
      </c>
      <c r="DA98" s="1" t="str">
        <f>IFERROR(VLOOKUP(CZ98,スクリプト_フロー!$A:$F,5,FALSE),"")</f>
        <v/>
      </c>
      <c r="DB98" s="1" t="str">
        <f t="shared" ref="DB98:DB129" si="33">V98&amp;"|"&amp;W98</f>
        <v>|</v>
      </c>
      <c r="DC98" s="1" t="str">
        <f>IFERROR(VLOOKUP(DB98,スクリプト_フロー!$A:$F,5,FALSE),"")</f>
        <v/>
      </c>
      <c r="DD98" s="1" t="str">
        <f t="shared" ref="DD98:DD129" si="34">Z98&amp;"|"&amp;AA98</f>
        <v>|</v>
      </c>
      <c r="DE98" s="1" t="str">
        <f>IFERROR(VLOOKUP(DD98,スクリプト_フロー!$A:$F,5,FALSE),"")</f>
        <v/>
      </c>
      <c r="DF98" s="1" t="str">
        <f t="shared" ref="DF98:DF129" si="35">AD98&amp;"|"&amp;AE98</f>
        <v>|</v>
      </c>
      <c r="DG98" s="1" t="str">
        <f>IFERROR(VLOOKUP(DF98,スクリプト_フロー!$A:$F,5,FALSE),"")</f>
        <v/>
      </c>
    </row>
    <row r="99" spans="1:111" ht="21">
      <c r="A99" s="1">
        <v>98</v>
      </c>
      <c r="B99" s="1" t="s">
        <v>285</v>
      </c>
      <c r="C99" s="1" t="s">
        <v>286</v>
      </c>
      <c r="D99" s="1" t="s">
        <v>62</v>
      </c>
      <c r="E99" s="6"/>
      <c r="F99" s="6"/>
      <c r="G99" s="6" t="s">
        <v>34</v>
      </c>
      <c r="H99" s="6"/>
      <c r="I99" s="4" t="str">
        <f>SUBSTITUTE(SUBSTITUTE(SUBSTITUTE(SUBSTITUTE(SUBSTITUTE(SUBSTITUTE(SUBSTITUTE(SUBSTITUTE(SUBSTITUTE(SUBSTITUTE(SUBSTITUTE(Q99,"{会社}",設定!$B$3),"{自分}",設定!$B$4),"{サービス}",設定!$B$5),"{料金}",設定!$B$7),"{日付1}",設定!$B$8),"{日付2}",設定!$B$9),"{時間1}",設定!$B$10),"{時間2}",設定!$B$11),"{時間}","（指定時間）"),"{日付確定}","（確定日）"),"{時間確定}","（確定時間）")</f>
        <v/>
      </c>
      <c r="J99" s="1" t="str">
        <f>IFERROR(VLOOKUP(P99,スクリプト_フロー!$A:$F,4,FALSE),"")</f>
        <v/>
      </c>
      <c r="K99" s="6" t="s">
        <v>35</v>
      </c>
      <c r="L99" s="6"/>
      <c r="M99" s="6"/>
      <c r="N99" s="6"/>
      <c r="O99" s="1"/>
      <c r="P99" s="1" t="str">
        <f t="shared" si="27"/>
        <v>①架電|</v>
      </c>
      <c r="Q99" s="1" t="str">
        <f>IFERROR(VLOOKUP(P99,スクリプト_フロー!$A:$F,5,FALSE),"")</f>
        <v/>
      </c>
      <c r="R99" s="6" t="str">
        <f t="shared" si="28"/>
        <v/>
      </c>
      <c r="S99" s="6"/>
      <c r="T99" s="4" t="str">
        <f>IF(DA99="","",SUBSTITUTE(SUBSTITUTE(SUBSTITUTE(SUBSTITUTE(SUBSTITUTE(SUBSTITUTE(SUBSTITUTE(SUBSTITUTE(SUBSTITUTE(SUBSTITUTE(SUBSTITUTE(DA99,"{会社}",設定!$B$3),"{自分}",設定!$B$4),"{サービス}",設定!$B$5),"{料金}",設定!$B$7),"{日付1}",設定!$B$8),"{日付2}",設定!$B$9),"{時間1}",設定!$B$10),"{時間2}",設定!$B$11),"{時間}","（指定時間）"),"{日付確定}","（確定日）"),"{時間確定}","（確定時間）"))</f>
        <v/>
      </c>
      <c r="U99" s="1" t="str">
        <f>IFERROR(VLOOKUP(CZ99,スクリプト_フロー!$A:$F,4,FALSE),"")</f>
        <v/>
      </c>
      <c r="V99" s="6" t="str">
        <f t="shared" si="29"/>
        <v/>
      </c>
      <c r="W99" s="6"/>
      <c r="X99" s="4" t="str">
        <f>IF(DC99="","",SUBSTITUTE(SUBSTITUTE(SUBSTITUTE(SUBSTITUTE(SUBSTITUTE(SUBSTITUTE(SUBSTITUTE(SUBSTITUTE(SUBSTITUTE(SUBSTITUTE(SUBSTITUTE(DC99,"{会社}",設定!$B$3),"{自分}",設定!$B$4),"{サービス}",設定!$B$5),"{料金}",設定!$B$7),"{日付1}",設定!$B$8),"{日付2}",設定!$B$9),"{時間1}",設定!$B$10),"{時間2}",設定!$B$11),"{時間}","（指定時間）"),"{日付確定}","（確定日）"),"{時間確定}","（確定時間）"))</f>
        <v/>
      </c>
      <c r="Y99" s="1" t="str">
        <f>IFERROR(VLOOKUP(DB99,スクリプト_フロー!$A:$F,4,FALSE),"")</f>
        <v/>
      </c>
      <c r="Z99" s="6" t="str">
        <f t="shared" si="30"/>
        <v/>
      </c>
      <c r="AA99" s="6"/>
      <c r="AB99" s="4" t="str">
        <f>IF(DE99="","",SUBSTITUTE(SUBSTITUTE(SUBSTITUTE(SUBSTITUTE(SUBSTITUTE(SUBSTITUTE(SUBSTITUTE(SUBSTITUTE(SUBSTITUTE(SUBSTITUTE(SUBSTITUTE(DE99,"{会社}",設定!$B$3),"{自分}",設定!$B$4),"{サービス}",設定!$B$5),"{料金}",設定!$B$7),"{日付1}",設定!$B$8),"{日付2}",設定!$B$9),"{時間1}",設定!$B$10),"{時間2}",設定!$B$11),"{時間}","（指定時間）"),"{日付確定}","（確定日）"),"{時間確定}","（確定時間）"))</f>
        <v/>
      </c>
      <c r="AC99" s="1" t="str">
        <f>IFERROR(VLOOKUP(DD99,スクリプト_フロー!$A:$F,4,FALSE),"")</f>
        <v/>
      </c>
      <c r="AD99" s="6" t="str">
        <f t="shared" si="31"/>
        <v/>
      </c>
      <c r="AE99" s="6"/>
      <c r="AF99" s="4" t="str">
        <f>IF(DG99="","",SUBSTITUTE(SUBSTITUTE(SUBSTITUTE(SUBSTITUTE(SUBSTITUTE(SUBSTITUTE(SUBSTITUTE(SUBSTITUTE(SUBSTITUTE(SUBSTITUTE(SUBSTITUTE(DG99,"{会社}",設定!$B$3),"{自分}",設定!$B$4),"{サービス}",設定!$B$5),"{料金}",設定!$B$7),"{日付1}",設定!$B$8),"{日付2}",設定!$B$9),"{時間1}",設定!$B$10),"{時間2}",設定!$B$11),"{時間}","（指定時間）"),"{日付確定}","（確定日）"),"{時間確定}","（確定時間）"))</f>
        <v/>
      </c>
      <c r="AG99" s="1" t="str">
        <f>IFERROR(VLOOKUP(DF99,スクリプト_フロー!$A:$F,4,FALSE),"")</f>
        <v/>
      </c>
      <c r="CZ99" s="1" t="str">
        <f t="shared" si="32"/>
        <v>|</v>
      </c>
      <c r="DA99" s="1" t="str">
        <f>IFERROR(VLOOKUP(CZ99,スクリプト_フロー!$A:$F,5,FALSE),"")</f>
        <v/>
      </c>
      <c r="DB99" s="1" t="str">
        <f t="shared" si="33"/>
        <v>|</v>
      </c>
      <c r="DC99" s="1" t="str">
        <f>IFERROR(VLOOKUP(DB99,スクリプト_フロー!$A:$F,5,FALSE),"")</f>
        <v/>
      </c>
      <c r="DD99" s="1" t="str">
        <f t="shared" si="34"/>
        <v>|</v>
      </c>
      <c r="DE99" s="1" t="str">
        <f>IFERROR(VLOOKUP(DD99,スクリプト_フロー!$A:$F,5,FALSE),"")</f>
        <v/>
      </c>
      <c r="DF99" s="1" t="str">
        <f t="shared" si="35"/>
        <v>|</v>
      </c>
      <c r="DG99" s="1" t="str">
        <f>IFERROR(VLOOKUP(DF99,スクリプト_フロー!$A:$F,5,FALSE),"")</f>
        <v/>
      </c>
    </row>
    <row r="100" spans="1:111" ht="21">
      <c r="A100" s="1">
        <v>99</v>
      </c>
      <c r="B100" s="1" t="s">
        <v>287</v>
      </c>
      <c r="C100" s="1" t="s">
        <v>288</v>
      </c>
      <c r="D100" s="1" t="s">
        <v>62</v>
      </c>
      <c r="E100" s="6"/>
      <c r="F100" s="6"/>
      <c r="G100" s="6" t="s">
        <v>34</v>
      </c>
      <c r="H100" s="6"/>
      <c r="I100" s="4" t="str">
        <f>SUBSTITUTE(SUBSTITUTE(SUBSTITUTE(SUBSTITUTE(SUBSTITUTE(SUBSTITUTE(SUBSTITUTE(SUBSTITUTE(SUBSTITUTE(SUBSTITUTE(SUBSTITUTE(Q100,"{会社}",設定!$B$3),"{自分}",設定!$B$4),"{サービス}",設定!$B$5),"{料金}",設定!$B$7),"{日付1}",設定!$B$8),"{日付2}",設定!$B$9),"{時間1}",設定!$B$10),"{時間2}",設定!$B$11),"{時間}","（指定時間）"),"{日付確定}","（確定日）"),"{時間確定}","（確定時間）")</f>
        <v/>
      </c>
      <c r="J100" s="1" t="str">
        <f>IFERROR(VLOOKUP(P100,スクリプト_フロー!$A:$F,4,FALSE),"")</f>
        <v/>
      </c>
      <c r="K100" s="6" t="s">
        <v>35</v>
      </c>
      <c r="L100" s="6"/>
      <c r="M100" s="6"/>
      <c r="N100" s="6"/>
      <c r="O100" s="1"/>
      <c r="P100" s="1" t="str">
        <f t="shared" si="27"/>
        <v>①架電|</v>
      </c>
      <c r="Q100" s="1" t="str">
        <f>IFERROR(VLOOKUP(P100,スクリプト_フロー!$A:$F,5,FALSE),"")</f>
        <v/>
      </c>
      <c r="R100" s="6" t="str">
        <f t="shared" si="28"/>
        <v/>
      </c>
      <c r="S100" s="6"/>
      <c r="T100" s="4" t="str">
        <f>IF(DA100="","",SUBSTITUTE(SUBSTITUTE(SUBSTITUTE(SUBSTITUTE(SUBSTITUTE(SUBSTITUTE(SUBSTITUTE(SUBSTITUTE(SUBSTITUTE(SUBSTITUTE(SUBSTITUTE(DA100,"{会社}",設定!$B$3),"{自分}",設定!$B$4),"{サービス}",設定!$B$5),"{料金}",設定!$B$7),"{日付1}",設定!$B$8),"{日付2}",設定!$B$9),"{時間1}",設定!$B$10),"{時間2}",設定!$B$11),"{時間}","（指定時間）"),"{日付確定}","（確定日）"),"{時間確定}","（確定時間）"))</f>
        <v/>
      </c>
      <c r="U100" s="1" t="str">
        <f>IFERROR(VLOOKUP(CZ100,スクリプト_フロー!$A:$F,4,FALSE),"")</f>
        <v/>
      </c>
      <c r="V100" s="6" t="str">
        <f t="shared" si="29"/>
        <v/>
      </c>
      <c r="W100" s="6"/>
      <c r="X100" s="4" t="str">
        <f>IF(DC100="","",SUBSTITUTE(SUBSTITUTE(SUBSTITUTE(SUBSTITUTE(SUBSTITUTE(SUBSTITUTE(SUBSTITUTE(SUBSTITUTE(SUBSTITUTE(SUBSTITUTE(SUBSTITUTE(DC100,"{会社}",設定!$B$3),"{自分}",設定!$B$4),"{サービス}",設定!$B$5),"{料金}",設定!$B$7),"{日付1}",設定!$B$8),"{日付2}",設定!$B$9),"{時間1}",設定!$B$10),"{時間2}",設定!$B$11),"{時間}","（指定時間）"),"{日付確定}","（確定日）"),"{時間確定}","（確定時間）"))</f>
        <v/>
      </c>
      <c r="Y100" s="1" t="str">
        <f>IFERROR(VLOOKUP(DB100,スクリプト_フロー!$A:$F,4,FALSE),"")</f>
        <v/>
      </c>
      <c r="Z100" s="6" t="str">
        <f t="shared" si="30"/>
        <v/>
      </c>
      <c r="AA100" s="6"/>
      <c r="AB100" s="4" t="str">
        <f>IF(DE100="","",SUBSTITUTE(SUBSTITUTE(SUBSTITUTE(SUBSTITUTE(SUBSTITUTE(SUBSTITUTE(SUBSTITUTE(SUBSTITUTE(SUBSTITUTE(SUBSTITUTE(SUBSTITUTE(DE100,"{会社}",設定!$B$3),"{自分}",設定!$B$4),"{サービス}",設定!$B$5),"{料金}",設定!$B$7),"{日付1}",設定!$B$8),"{日付2}",設定!$B$9),"{時間1}",設定!$B$10),"{時間2}",設定!$B$11),"{時間}","（指定時間）"),"{日付確定}","（確定日）"),"{時間確定}","（確定時間）"))</f>
        <v/>
      </c>
      <c r="AC100" s="1" t="str">
        <f>IFERROR(VLOOKUP(DD100,スクリプト_フロー!$A:$F,4,FALSE),"")</f>
        <v/>
      </c>
      <c r="AD100" s="6" t="str">
        <f t="shared" si="31"/>
        <v/>
      </c>
      <c r="AE100" s="6"/>
      <c r="AF100" s="4" t="str">
        <f>IF(DG100="","",SUBSTITUTE(SUBSTITUTE(SUBSTITUTE(SUBSTITUTE(SUBSTITUTE(SUBSTITUTE(SUBSTITUTE(SUBSTITUTE(SUBSTITUTE(SUBSTITUTE(SUBSTITUTE(DG100,"{会社}",設定!$B$3),"{自分}",設定!$B$4),"{サービス}",設定!$B$5),"{料金}",設定!$B$7),"{日付1}",設定!$B$8),"{日付2}",設定!$B$9),"{時間1}",設定!$B$10),"{時間2}",設定!$B$11),"{時間}","（指定時間）"),"{日付確定}","（確定日）"),"{時間確定}","（確定時間）"))</f>
        <v/>
      </c>
      <c r="AG100" s="1" t="str">
        <f>IFERROR(VLOOKUP(DF100,スクリプト_フロー!$A:$F,4,FALSE),"")</f>
        <v/>
      </c>
      <c r="CZ100" s="1" t="str">
        <f t="shared" si="32"/>
        <v>|</v>
      </c>
      <c r="DA100" s="1" t="str">
        <f>IFERROR(VLOOKUP(CZ100,スクリプト_フロー!$A:$F,5,FALSE),"")</f>
        <v/>
      </c>
      <c r="DB100" s="1" t="str">
        <f t="shared" si="33"/>
        <v>|</v>
      </c>
      <c r="DC100" s="1" t="str">
        <f>IFERROR(VLOOKUP(DB100,スクリプト_フロー!$A:$F,5,FALSE),"")</f>
        <v/>
      </c>
      <c r="DD100" s="1" t="str">
        <f t="shared" si="34"/>
        <v>|</v>
      </c>
      <c r="DE100" s="1" t="str">
        <f>IFERROR(VLOOKUP(DD100,スクリプト_フロー!$A:$F,5,FALSE),"")</f>
        <v/>
      </c>
      <c r="DF100" s="1" t="str">
        <f t="shared" si="35"/>
        <v>|</v>
      </c>
      <c r="DG100" s="1" t="str">
        <f>IFERROR(VLOOKUP(DF100,スクリプト_フロー!$A:$F,5,FALSE),"")</f>
        <v/>
      </c>
    </row>
    <row r="101" spans="1:111" ht="21">
      <c r="A101" s="1">
        <v>100</v>
      </c>
      <c r="B101" s="1" t="s">
        <v>289</v>
      </c>
      <c r="C101" s="1" t="s">
        <v>290</v>
      </c>
      <c r="D101" s="1" t="s">
        <v>62</v>
      </c>
      <c r="E101" s="6"/>
      <c r="F101" s="6"/>
      <c r="G101" s="6" t="s">
        <v>34</v>
      </c>
      <c r="H101" s="6"/>
      <c r="I101" s="4" t="str">
        <f>SUBSTITUTE(SUBSTITUTE(SUBSTITUTE(SUBSTITUTE(SUBSTITUTE(SUBSTITUTE(SUBSTITUTE(SUBSTITUTE(SUBSTITUTE(SUBSTITUTE(SUBSTITUTE(Q101,"{会社}",設定!$B$3),"{自分}",設定!$B$4),"{サービス}",設定!$B$5),"{料金}",設定!$B$7),"{日付1}",設定!$B$8),"{日付2}",設定!$B$9),"{時間1}",設定!$B$10),"{時間2}",設定!$B$11),"{時間}","（指定時間）"),"{日付確定}","（確定日）"),"{時間確定}","（確定時間）")</f>
        <v/>
      </c>
      <c r="J101" s="1" t="str">
        <f>IFERROR(VLOOKUP(P101,スクリプト_フロー!$A:$F,4,FALSE),"")</f>
        <v/>
      </c>
      <c r="K101" s="6" t="s">
        <v>35</v>
      </c>
      <c r="L101" s="6"/>
      <c r="M101" s="6"/>
      <c r="N101" s="6"/>
      <c r="O101" s="1"/>
      <c r="P101" s="1" t="str">
        <f t="shared" si="27"/>
        <v>①架電|</v>
      </c>
      <c r="Q101" s="1" t="str">
        <f>IFERROR(VLOOKUP(P101,スクリプト_フロー!$A:$F,5,FALSE),"")</f>
        <v/>
      </c>
      <c r="R101" s="6" t="str">
        <f t="shared" si="28"/>
        <v/>
      </c>
      <c r="S101" s="6"/>
      <c r="T101" s="4" t="str">
        <f>IF(DA101="","",SUBSTITUTE(SUBSTITUTE(SUBSTITUTE(SUBSTITUTE(SUBSTITUTE(SUBSTITUTE(SUBSTITUTE(SUBSTITUTE(SUBSTITUTE(SUBSTITUTE(SUBSTITUTE(DA101,"{会社}",設定!$B$3),"{自分}",設定!$B$4),"{サービス}",設定!$B$5),"{料金}",設定!$B$7),"{日付1}",設定!$B$8),"{日付2}",設定!$B$9),"{時間1}",設定!$B$10),"{時間2}",設定!$B$11),"{時間}","（指定時間）"),"{日付確定}","（確定日）"),"{時間確定}","（確定時間）"))</f>
        <v/>
      </c>
      <c r="U101" s="1" t="str">
        <f>IFERROR(VLOOKUP(CZ101,スクリプト_フロー!$A:$F,4,FALSE),"")</f>
        <v/>
      </c>
      <c r="V101" s="6" t="str">
        <f t="shared" si="29"/>
        <v/>
      </c>
      <c r="W101" s="6"/>
      <c r="X101" s="4" t="str">
        <f>IF(DC101="","",SUBSTITUTE(SUBSTITUTE(SUBSTITUTE(SUBSTITUTE(SUBSTITUTE(SUBSTITUTE(SUBSTITUTE(SUBSTITUTE(SUBSTITUTE(SUBSTITUTE(SUBSTITUTE(DC101,"{会社}",設定!$B$3),"{自分}",設定!$B$4),"{サービス}",設定!$B$5),"{料金}",設定!$B$7),"{日付1}",設定!$B$8),"{日付2}",設定!$B$9),"{時間1}",設定!$B$10),"{時間2}",設定!$B$11),"{時間}","（指定時間）"),"{日付確定}","（確定日）"),"{時間確定}","（確定時間）"))</f>
        <v/>
      </c>
      <c r="Y101" s="1" t="str">
        <f>IFERROR(VLOOKUP(DB101,スクリプト_フロー!$A:$F,4,FALSE),"")</f>
        <v/>
      </c>
      <c r="Z101" s="6" t="str">
        <f t="shared" si="30"/>
        <v/>
      </c>
      <c r="AA101" s="6"/>
      <c r="AB101" s="4" t="str">
        <f>IF(DE101="","",SUBSTITUTE(SUBSTITUTE(SUBSTITUTE(SUBSTITUTE(SUBSTITUTE(SUBSTITUTE(SUBSTITUTE(SUBSTITUTE(SUBSTITUTE(SUBSTITUTE(SUBSTITUTE(DE101,"{会社}",設定!$B$3),"{自分}",設定!$B$4),"{サービス}",設定!$B$5),"{料金}",設定!$B$7),"{日付1}",設定!$B$8),"{日付2}",設定!$B$9),"{時間1}",設定!$B$10),"{時間2}",設定!$B$11),"{時間}","（指定時間）"),"{日付確定}","（確定日）"),"{時間確定}","（確定時間）"))</f>
        <v/>
      </c>
      <c r="AC101" s="1" t="str">
        <f>IFERROR(VLOOKUP(DD101,スクリプト_フロー!$A:$F,4,FALSE),"")</f>
        <v/>
      </c>
      <c r="AD101" s="6" t="str">
        <f t="shared" si="31"/>
        <v/>
      </c>
      <c r="AE101" s="6"/>
      <c r="AF101" s="4" t="str">
        <f>IF(DG101="","",SUBSTITUTE(SUBSTITUTE(SUBSTITUTE(SUBSTITUTE(SUBSTITUTE(SUBSTITUTE(SUBSTITUTE(SUBSTITUTE(SUBSTITUTE(SUBSTITUTE(SUBSTITUTE(DG101,"{会社}",設定!$B$3),"{自分}",設定!$B$4),"{サービス}",設定!$B$5),"{料金}",設定!$B$7),"{日付1}",設定!$B$8),"{日付2}",設定!$B$9),"{時間1}",設定!$B$10),"{時間2}",設定!$B$11),"{時間}","（指定時間）"),"{日付確定}","（確定日）"),"{時間確定}","（確定時間）"))</f>
        <v/>
      </c>
      <c r="AG101" s="1" t="str">
        <f>IFERROR(VLOOKUP(DF101,スクリプト_フロー!$A:$F,4,FALSE),"")</f>
        <v/>
      </c>
      <c r="CZ101" s="1" t="str">
        <f t="shared" si="32"/>
        <v>|</v>
      </c>
      <c r="DA101" s="1" t="str">
        <f>IFERROR(VLOOKUP(CZ101,スクリプト_フロー!$A:$F,5,FALSE),"")</f>
        <v/>
      </c>
      <c r="DB101" s="1" t="str">
        <f t="shared" si="33"/>
        <v>|</v>
      </c>
      <c r="DC101" s="1" t="str">
        <f>IFERROR(VLOOKUP(DB101,スクリプト_フロー!$A:$F,5,FALSE),"")</f>
        <v/>
      </c>
      <c r="DD101" s="1" t="str">
        <f t="shared" si="34"/>
        <v>|</v>
      </c>
      <c r="DE101" s="1" t="str">
        <f>IFERROR(VLOOKUP(DD101,スクリプト_フロー!$A:$F,5,FALSE),"")</f>
        <v/>
      </c>
      <c r="DF101" s="1" t="str">
        <f t="shared" si="35"/>
        <v>|</v>
      </c>
      <c r="DG101" s="1" t="str">
        <f>IFERROR(VLOOKUP(DF101,スクリプト_フロー!$A:$F,5,FALSE),"")</f>
        <v/>
      </c>
    </row>
    <row r="102" spans="1:111" ht="21">
      <c r="A102" s="1">
        <v>101</v>
      </c>
      <c r="B102" s="1" t="s">
        <v>291</v>
      </c>
      <c r="C102" s="1" t="s">
        <v>292</v>
      </c>
      <c r="D102" s="1" t="s">
        <v>62</v>
      </c>
      <c r="E102" s="6"/>
      <c r="F102" s="6"/>
      <c r="G102" s="6" t="s">
        <v>34</v>
      </c>
      <c r="H102" s="6"/>
      <c r="I102" s="4" t="str">
        <f>SUBSTITUTE(SUBSTITUTE(SUBSTITUTE(SUBSTITUTE(SUBSTITUTE(SUBSTITUTE(SUBSTITUTE(SUBSTITUTE(SUBSTITUTE(SUBSTITUTE(SUBSTITUTE(Q102,"{会社}",設定!$B$3),"{自分}",設定!$B$4),"{サービス}",設定!$B$5),"{料金}",設定!$B$7),"{日付1}",設定!$B$8),"{日付2}",設定!$B$9),"{時間1}",設定!$B$10),"{時間2}",設定!$B$11),"{時間}","（指定時間）"),"{日付確定}","（確定日）"),"{時間確定}","（確定時間）")</f>
        <v/>
      </c>
      <c r="J102" s="1" t="str">
        <f>IFERROR(VLOOKUP(P102,スクリプト_フロー!$A:$F,4,FALSE),"")</f>
        <v/>
      </c>
      <c r="K102" s="6" t="s">
        <v>35</v>
      </c>
      <c r="L102" s="6"/>
      <c r="M102" s="6"/>
      <c r="N102" s="6"/>
      <c r="O102" s="1"/>
      <c r="P102" s="1" t="str">
        <f t="shared" si="27"/>
        <v>①架電|</v>
      </c>
      <c r="Q102" s="1" t="str">
        <f>IFERROR(VLOOKUP(P102,スクリプト_フロー!$A:$F,5,FALSE),"")</f>
        <v/>
      </c>
      <c r="R102" s="6" t="str">
        <f t="shared" si="28"/>
        <v/>
      </c>
      <c r="S102" s="6"/>
      <c r="T102" s="4" t="str">
        <f>IF(DA102="","",SUBSTITUTE(SUBSTITUTE(SUBSTITUTE(SUBSTITUTE(SUBSTITUTE(SUBSTITUTE(SUBSTITUTE(SUBSTITUTE(SUBSTITUTE(SUBSTITUTE(SUBSTITUTE(DA102,"{会社}",設定!$B$3),"{自分}",設定!$B$4),"{サービス}",設定!$B$5),"{料金}",設定!$B$7),"{日付1}",設定!$B$8),"{日付2}",設定!$B$9),"{時間1}",設定!$B$10),"{時間2}",設定!$B$11),"{時間}","（指定時間）"),"{日付確定}","（確定日）"),"{時間確定}","（確定時間）"))</f>
        <v/>
      </c>
      <c r="U102" s="1" t="str">
        <f>IFERROR(VLOOKUP(CZ102,スクリプト_フロー!$A:$F,4,FALSE),"")</f>
        <v/>
      </c>
      <c r="V102" s="6" t="str">
        <f t="shared" si="29"/>
        <v/>
      </c>
      <c r="W102" s="6"/>
      <c r="X102" s="4" t="str">
        <f>IF(DC102="","",SUBSTITUTE(SUBSTITUTE(SUBSTITUTE(SUBSTITUTE(SUBSTITUTE(SUBSTITUTE(SUBSTITUTE(SUBSTITUTE(SUBSTITUTE(SUBSTITUTE(SUBSTITUTE(DC102,"{会社}",設定!$B$3),"{自分}",設定!$B$4),"{サービス}",設定!$B$5),"{料金}",設定!$B$7),"{日付1}",設定!$B$8),"{日付2}",設定!$B$9),"{時間1}",設定!$B$10),"{時間2}",設定!$B$11),"{時間}","（指定時間）"),"{日付確定}","（確定日）"),"{時間確定}","（確定時間）"))</f>
        <v/>
      </c>
      <c r="Y102" s="1" t="str">
        <f>IFERROR(VLOOKUP(DB102,スクリプト_フロー!$A:$F,4,FALSE),"")</f>
        <v/>
      </c>
      <c r="Z102" s="6" t="str">
        <f t="shared" si="30"/>
        <v/>
      </c>
      <c r="AA102" s="6"/>
      <c r="AB102" s="4" t="str">
        <f>IF(DE102="","",SUBSTITUTE(SUBSTITUTE(SUBSTITUTE(SUBSTITUTE(SUBSTITUTE(SUBSTITUTE(SUBSTITUTE(SUBSTITUTE(SUBSTITUTE(SUBSTITUTE(SUBSTITUTE(DE102,"{会社}",設定!$B$3),"{自分}",設定!$B$4),"{サービス}",設定!$B$5),"{料金}",設定!$B$7),"{日付1}",設定!$B$8),"{日付2}",設定!$B$9),"{時間1}",設定!$B$10),"{時間2}",設定!$B$11),"{時間}","（指定時間）"),"{日付確定}","（確定日）"),"{時間確定}","（確定時間）"))</f>
        <v/>
      </c>
      <c r="AC102" s="1" t="str">
        <f>IFERROR(VLOOKUP(DD102,スクリプト_フロー!$A:$F,4,FALSE),"")</f>
        <v/>
      </c>
      <c r="AD102" s="6" t="str">
        <f t="shared" si="31"/>
        <v/>
      </c>
      <c r="AE102" s="6"/>
      <c r="AF102" s="4" t="str">
        <f>IF(DG102="","",SUBSTITUTE(SUBSTITUTE(SUBSTITUTE(SUBSTITUTE(SUBSTITUTE(SUBSTITUTE(SUBSTITUTE(SUBSTITUTE(SUBSTITUTE(SUBSTITUTE(SUBSTITUTE(DG102,"{会社}",設定!$B$3),"{自分}",設定!$B$4),"{サービス}",設定!$B$5),"{料金}",設定!$B$7),"{日付1}",設定!$B$8),"{日付2}",設定!$B$9),"{時間1}",設定!$B$10),"{時間2}",設定!$B$11),"{時間}","（指定時間）"),"{日付確定}","（確定日）"),"{時間確定}","（確定時間）"))</f>
        <v/>
      </c>
      <c r="AG102" s="1" t="str">
        <f>IFERROR(VLOOKUP(DF102,スクリプト_フロー!$A:$F,4,FALSE),"")</f>
        <v/>
      </c>
      <c r="CZ102" s="1" t="str">
        <f t="shared" si="32"/>
        <v>|</v>
      </c>
      <c r="DA102" s="1" t="str">
        <f>IFERROR(VLOOKUP(CZ102,スクリプト_フロー!$A:$F,5,FALSE),"")</f>
        <v/>
      </c>
      <c r="DB102" s="1" t="str">
        <f t="shared" si="33"/>
        <v>|</v>
      </c>
      <c r="DC102" s="1" t="str">
        <f>IFERROR(VLOOKUP(DB102,スクリプト_フロー!$A:$F,5,FALSE),"")</f>
        <v/>
      </c>
      <c r="DD102" s="1" t="str">
        <f t="shared" si="34"/>
        <v>|</v>
      </c>
      <c r="DE102" s="1" t="str">
        <f>IFERROR(VLOOKUP(DD102,スクリプト_フロー!$A:$F,5,FALSE),"")</f>
        <v/>
      </c>
      <c r="DF102" s="1" t="str">
        <f t="shared" si="35"/>
        <v>|</v>
      </c>
      <c r="DG102" s="1" t="str">
        <f>IFERROR(VLOOKUP(DF102,スクリプト_フロー!$A:$F,5,FALSE),"")</f>
        <v/>
      </c>
    </row>
    <row r="103" spans="1:111" ht="21">
      <c r="A103" s="1">
        <v>102</v>
      </c>
      <c r="B103" s="1" t="s">
        <v>293</v>
      </c>
      <c r="C103" s="1" t="s">
        <v>294</v>
      </c>
      <c r="D103" s="1" t="s">
        <v>62</v>
      </c>
      <c r="E103" s="6"/>
      <c r="F103" s="6"/>
      <c r="G103" s="6" t="s">
        <v>34</v>
      </c>
      <c r="H103" s="6"/>
      <c r="I103" s="4" t="str">
        <f>SUBSTITUTE(SUBSTITUTE(SUBSTITUTE(SUBSTITUTE(SUBSTITUTE(SUBSTITUTE(SUBSTITUTE(SUBSTITUTE(SUBSTITUTE(SUBSTITUTE(SUBSTITUTE(Q103,"{会社}",設定!$B$3),"{自分}",設定!$B$4),"{サービス}",設定!$B$5),"{料金}",設定!$B$7),"{日付1}",設定!$B$8),"{日付2}",設定!$B$9),"{時間1}",設定!$B$10),"{時間2}",設定!$B$11),"{時間}","（指定時間）"),"{日付確定}","（確定日）"),"{時間確定}","（確定時間）")</f>
        <v/>
      </c>
      <c r="J103" s="1" t="str">
        <f>IFERROR(VLOOKUP(P103,スクリプト_フロー!$A:$F,4,FALSE),"")</f>
        <v/>
      </c>
      <c r="K103" s="6" t="s">
        <v>35</v>
      </c>
      <c r="L103" s="6"/>
      <c r="M103" s="6"/>
      <c r="N103" s="6"/>
      <c r="O103" s="1"/>
      <c r="P103" s="1" t="str">
        <f t="shared" si="27"/>
        <v>①架電|</v>
      </c>
      <c r="Q103" s="1" t="str">
        <f>IFERROR(VLOOKUP(P103,スクリプト_フロー!$A:$F,5,FALSE),"")</f>
        <v/>
      </c>
      <c r="R103" s="6" t="str">
        <f t="shared" si="28"/>
        <v/>
      </c>
      <c r="S103" s="6"/>
      <c r="T103" s="4" t="str">
        <f>IF(DA103="","",SUBSTITUTE(SUBSTITUTE(SUBSTITUTE(SUBSTITUTE(SUBSTITUTE(SUBSTITUTE(SUBSTITUTE(SUBSTITUTE(SUBSTITUTE(SUBSTITUTE(SUBSTITUTE(DA103,"{会社}",設定!$B$3),"{自分}",設定!$B$4),"{サービス}",設定!$B$5),"{料金}",設定!$B$7),"{日付1}",設定!$B$8),"{日付2}",設定!$B$9),"{時間1}",設定!$B$10),"{時間2}",設定!$B$11),"{時間}","（指定時間）"),"{日付確定}","（確定日）"),"{時間確定}","（確定時間）"))</f>
        <v/>
      </c>
      <c r="U103" s="1" t="str">
        <f>IFERROR(VLOOKUP(CZ103,スクリプト_フロー!$A:$F,4,FALSE),"")</f>
        <v/>
      </c>
      <c r="V103" s="6" t="str">
        <f t="shared" si="29"/>
        <v/>
      </c>
      <c r="W103" s="6"/>
      <c r="X103" s="4" t="str">
        <f>IF(DC103="","",SUBSTITUTE(SUBSTITUTE(SUBSTITUTE(SUBSTITUTE(SUBSTITUTE(SUBSTITUTE(SUBSTITUTE(SUBSTITUTE(SUBSTITUTE(SUBSTITUTE(SUBSTITUTE(DC103,"{会社}",設定!$B$3),"{自分}",設定!$B$4),"{サービス}",設定!$B$5),"{料金}",設定!$B$7),"{日付1}",設定!$B$8),"{日付2}",設定!$B$9),"{時間1}",設定!$B$10),"{時間2}",設定!$B$11),"{時間}","（指定時間）"),"{日付確定}","（確定日）"),"{時間確定}","（確定時間）"))</f>
        <v/>
      </c>
      <c r="Y103" s="1" t="str">
        <f>IFERROR(VLOOKUP(DB103,スクリプト_フロー!$A:$F,4,FALSE),"")</f>
        <v/>
      </c>
      <c r="Z103" s="6" t="str">
        <f t="shared" si="30"/>
        <v/>
      </c>
      <c r="AA103" s="6"/>
      <c r="AB103" s="4" t="str">
        <f>IF(DE103="","",SUBSTITUTE(SUBSTITUTE(SUBSTITUTE(SUBSTITUTE(SUBSTITUTE(SUBSTITUTE(SUBSTITUTE(SUBSTITUTE(SUBSTITUTE(SUBSTITUTE(SUBSTITUTE(DE103,"{会社}",設定!$B$3),"{自分}",設定!$B$4),"{サービス}",設定!$B$5),"{料金}",設定!$B$7),"{日付1}",設定!$B$8),"{日付2}",設定!$B$9),"{時間1}",設定!$B$10),"{時間2}",設定!$B$11),"{時間}","（指定時間）"),"{日付確定}","（確定日）"),"{時間確定}","（確定時間）"))</f>
        <v/>
      </c>
      <c r="AC103" s="1" t="str">
        <f>IFERROR(VLOOKUP(DD103,スクリプト_フロー!$A:$F,4,FALSE),"")</f>
        <v/>
      </c>
      <c r="AD103" s="6" t="str">
        <f t="shared" si="31"/>
        <v/>
      </c>
      <c r="AE103" s="6"/>
      <c r="AF103" s="4" t="str">
        <f>IF(DG103="","",SUBSTITUTE(SUBSTITUTE(SUBSTITUTE(SUBSTITUTE(SUBSTITUTE(SUBSTITUTE(SUBSTITUTE(SUBSTITUTE(SUBSTITUTE(SUBSTITUTE(SUBSTITUTE(DG103,"{会社}",設定!$B$3),"{自分}",設定!$B$4),"{サービス}",設定!$B$5),"{料金}",設定!$B$7),"{日付1}",設定!$B$8),"{日付2}",設定!$B$9),"{時間1}",設定!$B$10),"{時間2}",設定!$B$11),"{時間}","（指定時間）"),"{日付確定}","（確定日）"),"{時間確定}","（確定時間）"))</f>
        <v/>
      </c>
      <c r="AG103" s="1" t="str">
        <f>IFERROR(VLOOKUP(DF103,スクリプト_フロー!$A:$F,4,FALSE),"")</f>
        <v/>
      </c>
      <c r="CZ103" s="1" t="str">
        <f t="shared" si="32"/>
        <v>|</v>
      </c>
      <c r="DA103" s="1" t="str">
        <f>IFERROR(VLOOKUP(CZ103,スクリプト_フロー!$A:$F,5,FALSE),"")</f>
        <v/>
      </c>
      <c r="DB103" s="1" t="str">
        <f t="shared" si="33"/>
        <v>|</v>
      </c>
      <c r="DC103" s="1" t="str">
        <f>IFERROR(VLOOKUP(DB103,スクリプト_フロー!$A:$F,5,FALSE),"")</f>
        <v/>
      </c>
      <c r="DD103" s="1" t="str">
        <f t="shared" si="34"/>
        <v>|</v>
      </c>
      <c r="DE103" s="1" t="str">
        <f>IFERROR(VLOOKUP(DD103,スクリプト_フロー!$A:$F,5,FALSE),"")</f>
        <v/>
      </c>
      <c r="DF103" s="1" t="str">
        <f t="shared" si="35"/>
        <v>|</v>
      </c>
      <c r="DG103" s="1" t="str">
        <f>IFERROR(VLOOKUP(DF103,スクリプト_フロー!$A:$F,5,FALSE),"")</f>
        <v/>
      </c>
    </row>
    <row r="104" spans="1:111" ht="21">
      <c r="A104" s="1">
        <v>103</v>
      </c>
      <c r="B104" s="1" t="s">
        <v>295</v>
      </c>
      <c r="C104" s="1" t="s">
        <v>296</v>
      </c>
      <c r="D104" s="1" t="s">
        <v>62</v>
      </c>
      <c r="E104" s="6"/>
      <c r="F104" s="6"/>
      <c r="G104" s="6" t="s">
        <v>34</v>
      </c>
      <c r="H104" s="6"/>
      <c r="I104" s="4" t="str">
        <f>SUBSTITUTE(SUBSTITUTE(SUBSTITUTE(SUBSTITUTE(SUBSTITUTE(SUBSTITUTE(SUBSTITUTE(SUBSTITUTE(SUBSTITUTE(SUBSTITUTE(SUBSTITUTE(Q104,"{会社}",設定!$B$3),"{自分}",設定!$B$4),"{サービス}",設定!$B$5),"{料金}",設定!$B$7),"{日付1}",設定!$B$8),"{日付2}",設定!$B$9),"{時間1}",設定!$B$10),"{時間2}",設定!$B$11),"{時間}","（指定時間）"),"{日付確定}","（確定日）"),"{時間確定}","（確定時間）")</f>
        <v/>
      </c>
      <c r="J104" s="1" t="str">
        <f>IFERROR(VLOOKUP(P104,スクリプト_フロー!$A:$F,4,FALSE),"")</f>
        <v/>
      </c>
      <c r="K104" s="6" t="s">
        <v>35</v>
      </c>
      <c r="L104" s="6"/>
      <c r="M104" s="6"/>
      <c r="N104" s="6"/>
      <c r="O104" s="1"/>
      <c r="P104" s="1" t="str">
        <f t="shared" si="27"/>
        <v>①架電|</v>
      </c>
      <c r="Q104" s="1" t="str">
        <f>IFERROR(VLOOKUP(P104,スクリプト_フロー!$A:$F,5,FALSE),"")</f>
        <v/>
      </c>
      <c r="R104" s="6" t="str">
        <f t="shared" si="28"/>
        <v/>
      </c>
      <c r="S104" s="6"/>
      <c r="T104" s="4" t="str">
        <f>IF(DA104="","",SUBSTITUTE(SUBSTITUTE(SUBSTITUTE(SUBSTITUTE(SUBSTITUTE(SUBSTITUTE(SUBSTITUTE(SUBSTITUTE(SUBSTITUTE(SUBSTITUTE(SUBSTITUTE(DA104,"{会社}",設定!$B$3),"{自分}",設定!$B$4),"{サービス}",設定!$B$5),"{料金}",設定!$B$7),"{日付1}",設定!$B$8),"{日付2}",設定!$B$9),"{時間1}",設定!$B$10),"{時間2}",設定!$B$11),"{時間}","（指定時間）"),"{日付確定}","（確定日）"),"{時間確定}","（確定時間）"))</f>
        <v/>
      </c>
      <c r="U104" s="1" t="str">
        <f>IFERROR(VLOOKUP(CZ104,スクリプト_フロー!$A:$F,4,FALSE),"")</f>
        <v/>
      </c>
      <c r="V104" s="6" t="str">
        <f t="shared" si="29"/>
        <v/>
      </c>
      <c r="W104" s="6"/>
      <c r="X104" s="4" t="str">
        <f>IF(DC104="","",SUBSTITUTE(SUBSTITUTE(SUBSTITUTE(SUBSTITUTE(SUBSTITUTE(SUBSTITUTE(SUBSTITUTE(SUBSTITUTE(SUBSTITUTE(SUBSTITUTE(SUBSTITUTE(DC104,"{会社}",設定!$B$3),"{自分}",設定!$B$4),"{サービス}",設定!$B$5),"{料金}",設定!$B$7),"{日付1}",設定!$B$8),"{日付2}",設定!$B$9),"{時間1}",設定!$B$10),"{時間2}",設定!$B$11),"{時間}","（指定時間）"),"{日付確定}","（確定日）"),"{時間確定}","（確定時間）"))</f>
        <v/>
      </c>
      <c r="Y104" s="1" t="str">
        <f>IFERROR(VLOOKUP(DB104,スクリプト_フロー!$A:$F,4,FALSE),"")</f>
        <v/>
      </c>
      <c r="Z104" s="6" t="str">
        <f t="shared" si="30"/>
        <v/>
      </c>
      <c r="AA104" s="6"/>
      <c r="AB104" s="4" t="str">
        <f>IF(DE104="","",SUBSTITUTE(SUBSTITUTE(SUBSTITUTE(SUBSTITUTE(SUBSTITUTE(SUBSTITUTE(SUBSTITUTE(SUBSTITUTE(SUBSTITUTE(SUBSTITUTE(SUBSTITUTE(DE104,"{会社}",設定!$B$3),"{自分}",設定!$B$4),"{サービス}",設定!$B$5),"{料金}",設定!$B$7),"{日付1}",設定!$B$8),"{日付2}",設定!$B$9),"{時間1}",設定!$B$10),"{時間2}",設定!$B$11),"{時間}","（指定時間）"),"{日付確定}","（確定日）"),"{時間確定}","（確定時間）"))</f>
        <v/>
      </c>
      <c r="AC104" s="1" t="str">
        <f>IFERROR(VLOOKUP(DD104,スクリプト_フロー!$A:$F,4,FALSE),"")</f>
        <v/>
      </c>
      <c r="AD104" s="6" t="str">
        <f t="shared" si="31"/>
        <v/>
      </c>
      <c r="AE104" s="6"/>
      <c r="AF104" s="4" t="str">
        <f>IF(DG104="","",SUBSTITUTE(SUBSTITUTE(SUBSTITUTE(SUBSTITUTE(SUBSTITUTE(SUBSTITUTE(SUBSTITUTE(SUBSTITUTE(SUBSTITUTE(SUBSTITUTE(SUBSTITUTE(DG104,"{会社}",設定!$B$3),"{自分}",設定!$B$4),"{サービス}",設定!$B$5),"{料金}",設定!$B$7),"{日付1}",設定!$B$8),"{日付2}",設定!$B$9),"{時間1}",設定!$B$10),"{時間2}",設定!$B$11),"{時間}","（指定時間）"),"{日付確定}","（確定日）"),"{時間確定}","（確定時間）"))</f>
        <v/>
      </c>
      <c r="AG104" s="1" t="str">
        <f>IFERROR(VLOOKUP(DF104,スクリプト_フロー!$A:$F,4,FALSE),"")</f>
        <v/>
      </c>
      <c r="CZ104" s="1" t="str">
        <f t="shared" si="32"/>
        <v>|</v>
      </c>
      <c r="DA104" s="1" t="str">
        <f>IFERROR(VLOOKUP(CZ104,スクリプト_フロー!$A:$F,5,FALSE),"")</f>
        <v/>
      </c>
      <c r="DB104" s="1" t="str">
        <f t="shared" si="33"/>
        <v>|</v>
      </c>
      <c r="DC104" s="1" t="str">
        <f>IFERROR(VLOOKUP(DB104,スクリプト_フロー!$A:$F,5,FALSE),"")</f>
        <v/>
      </c>
      <c r="DD104" s="1" t="str">
        <f t="shared" si="34"/>
        <v>|</v>
      </c>
      <c r="DE104" s="1" t="str">
        <f>IFERROR(VLOOKUP(DD104,スクリプト_フロー!$A:$F,5,FALSE),"")</f>
        <v/>
      </c>
      <c r="DF104" s="1" t="str">
        <f t="shared" si="35"/>
        <v>|</v>
      </c>
      <c r="DG104" s="1" t="str">
        <f>IFERROR(VLOOKUP(DF104,スクリプト_フロー!$A:$F,5,FALSE),"")</f>
        <v/>
      </c>
    </row>
    <row r="105" spans="1:111" ht="21">
      <c r="A105" s="1">
        <v>104</v>
      </c>
      <c r="B105" s="1" t="s">
        <v>297</v>
      </c>
      <c r="C105" s="1" t="s">
        <v>298</v>
      </c>
      <c r="D105" s="1" t="s">
        <v>62</v>
      </c>
      <c r="E105" s="6"/>
      <c r="F105" s="6"/>
      <c r="G105" s="6" t="s">
        <v>34</v>
      </c>
      <c r="H105" s="6"/>
      <c r="I105" s="4" t="str">
        <f>SUBSTITUTE(SUBSTITUTE(SUBSTITUTE(SUBSTITUTE(SUBSTITUTE(SUBSTITUTE(SUBSTITUTE(SUBSTITUTE(SUBSTITUTE(SUBSTITUTE(SUBSTITUTE(Q105,"{会社}",設定!$B$3),"{自分}",設定!$B$4),"{サービス}",設定!$B$5),"{料金}",設定!$B$7),"{日付1}",設定!$B$8),"{日付2}",設定!$B$9),"{時間1}",設定!$B$10),"{時間2}",設定!$B$11),"{時間}","（指定時間）"),"{日付確定}","（確定日）"),"{時間確定}","（確定時間）")</f>
        <v/>
      </c>
      <c r="J105" s="1" t="str">
        <f>IFERROR(VLOOKUP(P105,スクリプト_フロー!$A:$F,4,FALSE),"")</f>
        <v/>
      </c>
      <c r="K105" s="6" t="s">
        <v>35</v>
      </c>
      <c r="L105" s="6"/>
      <c r="M105" s="6"/>
      <c r="N105" s="6"/>
      <c r="O105" s="1"/>
      <c r="P105" s="1" t="str">
        <f t="shared" si="27"/>
        <v>①架電|</v>
      </c>
      <c r="Q105" s="1" t="str">
        <f>IFERROR(VLOOKUP(P105,スクリプト_フロー!$A:$F,5,FALSE),"")</f>
        <v/>
      </c>
      <c r="R105" s="6" t="str">
        <f t="shared" si="28"/>
        <v/>
      </c>
      <c r="S105" s="6"/>
      <c r="T105" s="4" t="str">
        <f>IF(DA105="","",SUBSTITUTE(SUBSTITUTE(SUBSTITUTE(SUBSTITUTE(SUBSTITUTE(SUBSTITUTE(SUBSTITUTE(SUBSTITUTE(SUBSTITUTE(SUBSTITUTE(SUBSTITUTE(DA105,"{会社}",設定!$B$3),"{自分}",設定!$B$4),"{サービス}",設定!$B$5),"{料金}",設定!$B$7),"{日付1}",設定!$B$8),"{日付2}",設定!$B$9),"{時間1}",設定!$B$10),"{時間2}",設定!$B$11),"{時間}","（指定時間）"),"{日付確定}","（確定日）"),"{時間確定}","（確定時間）"))</f>
        <v/>
      </c>
      <c r="U105" s="1" t="str">
        <f>IFERROR(VLOOKUP(CZ105,スクリプト_フロー!$A:$F,4,FALSE),"")</f>
        <v/>
      </c>
      <c r="V105" s="6" t="str">
        <f t="shared" si="29"/>
        <v/>
      </c>
      <c r="W105" s="6"/>
      <c r="X105" s="4" t="str">
        <f>IF(DC105="","",SUBSTITUTE(SUBSTITUTE(SUBSTITUTE(SUBSTITUTE(SUBSTITUTE(SUBSTITUTE(SUBSTITUTE(SUBSTITUTE(SUBSTITUTE(SUBSTITUTE(SUBSTITUTE(DC105,"{会社}",設定!$B$3),"{自分}",設定!$B$4),"{サービス}",設定!$B$5),"{料金}",設定!$B$7),"{日付1}",設定!$B$8),"{日付2}",設定!$B$9),"{時間1}",設定!$B$10),"{時間2}",設定!$B$11),"{時間}","（指定時間）"),"{日付確定}","（確定日）"),"{時間確定}","（確定時間）"))</f>
        <v/>
      </c>
      <c r="Y105" s="1" t="str">
        <f>IFERROR(VLOOKUP(DB105,スクリプト_フロー!$A:$F,4,FALSE),"")</f>
        <v/>
      </c>
      <c r="Z105" s="6" t="str">
        <f t="shared" si="30"/>
        <v/>
      </c>
      <c r="AA105" s="6"/>
      <c r="AB105" s="4" t="str">
        <f>IF(DE105="","",SUBSTITUTE(SUBSTITUTE(SUBSTITUTE(SUBSTITUTE(SUBSTITUTE(SUBSTITUTE(SUBSTITUTE(SUBSTITUTE(SUBSTITUTE(SUBSTITUTE(SUBSTITUTE(DE105,"{会社}",設定!$B$3),"{自分}",設定!$B$4),"{サービス}",設定!$B$5),"{料金}",設定!$B$7),"{日付1}",設定!$B$8),"{日付2}",設定!$B$9),"{時間1}",設定!$B$10),"{時間2}",設定!$B$11),"{時間}","（指定時間）"),"{日付確定}","（確定日）"),"{時間確定}","（確定時間）"))</f>
        <v/>
      </c>
      <c r="AC105" s="1" t="str">
        <f>IFERROR(VLOOKUP(DD105,スクリプト_フロー!$A:$F,4,FALSE),"")</f>
        <v/>
      </c>
      <c r="AD105" s="6" t="str">
        <f t="shared" si="31"/>
        <v/>
      </c>
      <c r="AE105" s="6"/>
      <c r="AF105" s="4" t="str">
        <f>IF(DG105="","",SUBSTITUTE(SUBSTITUTE(SUBSTITUTE(SUBSTITUTE(SUBSTITUTE(SUBSTITUTE(SUBSTITUTE(SUBSTITUTE(SUBSTITUTE(SUBSTITUTE(SUBSTITUTE(DG105,"{会社}",設定!$B$3),"{自分}",設定!$B$4),"{サービス}",設定!$B$5),"{料金}",設定!$B$7),"{日付1}",設定!$B$8),"{日付2}",設定!$B$9),"{時間1}",設定!$B$10),"{時間2}",設定!$B$11),"{時間}","（指定時間）"),"{日付確定}","（確定日）"),"{時間確定}","（確定時間）"))</f>
        <v/>
      </c>
      <c r="AG105" s="1" t="str">
        <f>IFERROR(VLOOKUP(DF105,スクリプト_フロー!$A:$F,4,FALSE),"")</f>
        <v/>
      </c>
      <c r="CZ105" s="1" t="str">
        <f t="shared" si="32"/>
        <v>|</v>
      </c>
      <c r="DA105" s="1" t="str">
        <f>IFERROR(VLOOKUP(CZ105,スクリプト_フロー!$A:$F,5,FALSE),"")</f>
        <v/>
      </c>
      <c r="DB105" s="1" t="str">
        <f t="shared" si="33"/>
        <v>|</v>
      </c>
      <c r="DC105" s="1" t="str">
        <f>IFERROR(VLOOKUP(DB105,スクリプト_フロー!$A:$F,5,FALSE),"")</f>
        <v/>
      </c>
      <c r="DD105" s="1" t="str">
        <f t="shared" si="34"/>
        <v>|</v>
      </c>
      <c r="DE105" s="1" t="str">
        <f>IFERROR(VLOOKUP(DD105,スクリプト_フロー!$A:$F,5,FALSE),"")</f>
        <v/>
      </c>
      <c r="DF105" s="1" t="str">
        <f t="shared" si="35"/>
        <v>|</v>
      </c>
      <c r="DG105" s="1" t="str">
        <f>IFERROR(VLOOKUP(DF105,スクリプト_フロー!$A:$F,5,FALSE),"")</f>
        <v/>
      </c>
    </row>
    <row r="106" spans="1:111" ht="21">
      <c r="A106" s="1">
        <v>105</v>
      </c>
      <c r="B106" s="1" t="s">
        <v>299</v>
      </c>
      <c r="C106" s="1" t="s">
        <v>300</v>
      </c>
      <c r="D106" s="1" t="s">
        <v>62</v>
      </c>
      <c r="E106" s="6"/>
      <c r="F106" s="6"/>
      <c r="G106" s="6" t="s">
        <v>34</v>
      </c>
      <c r="H106" s="6"/>
      <c r="I106" s="4" t="str">
        <f>SUBSTITUTE(SUBSTITUTE(SUBSTITUTE(SUBSTITUTE(SUBSTITUTE(SUBSTITUTE(SUBSTITUTE(SUBSTITUTE(SUBSTITUTE(SUBSTITUTE(SUBSTITUTE(Q106,"{会社}",設定!$B$3),"{自分}",設定!$B$4),"{サービス}",設定!$B$5),"{料金}",設定!$B$7),"{日付1}",設定!$B$8),"{日付2}",設定!$B$9),"{時間1}",設定!$B$10),"{時間2}",設定!$B$11),"{時間}","（指定時間）"),"{日付確定}","（確定日）"),"{時間確定}","（確定時間）")</f>
        <v/>
      </c>
      <c r="J106" s="1" t="str">
        <f>IFERROR(VLOOKUP(P106,スクリプト_フロー!$A:$F,4,FALSE),"")</f>
        <v/>
      </c>
      <c r="K106" s="6" t="s">
        <v>35</v>
      </c>
      <c r="L106" s="6"/>
      <c r="M106" s="6"/>
      <c r="N106" s="6"/>
      <c r="O106" s="1"/>
      <c r="P106" s="1" t="str">
        <f t="shared" si="27"/>
        <v>①架電|</v>
      </c>
      <c r="Q106" s="1" t="str">
        <f>IFERROR(VLOOKUP(P106,スクリプト_フロー!$A:$F,5,FALSE),"")</f>
        <v/>
      </c>
      <c r="R106" s="6" t="str">
        <f t="shared" si="28"/>
        <v/>
      </c>
      <c r="S106" s="6"/>
      <c r="T106" s="4" t="str">
        <f>IF(DA106="","",SUBSTITUTE(SUBSTITUTE(SUBSTITUTE(SUBSTITUTE(SUBSTITUTE(SUBSTITUTE(SUBSTITUTE(SUBSTITUTE(SUBSTITUTE(SUBSTITUTE(SUBSTITUTE(DA106,"{会社}",設定!$B$3),"{自分}",設定!$B$4),"{サービス}",設定!$B$5),"{料金}",設定!$B$7),"{日付1}",設定!$B$8),"{日付2}",設定!$B$9),"{時間1}",設定!$B$10),"{時間2}",設定!$B$11),"{時間}","（指定時間）"),"{日付確定}","（確定日）"),"{時間確定}","（確定時間）"))</f>
        <v/>
      </c>
      <c r="U106" s="1" t="str">
        <f>IFERROR(VLOOKUP(CZ106,スクリプト_フロー!$A:$F,4,FALSE),"")</f>
        <v/>
      </c>
      <c r="V106" s="6" t="str">
        <f t="shared" si="29"/>
        <v/>
      </c>
      <c r="W106" s="6"/>
      <c r="X106" s="4" t="str">
        <f>IF(DC106="","",SUBSTITUTE(SUBSTITUTE(SUBSTITUTE(SUBSTITUTE(SUBSTITUTE(SUBSTITUTE(SUBSTITUTE(SUBSTITUTE(SUBSTITUTE(SUBSTITUTE(SUBSTITUTE(DC106,"{会社}",設定!$B$3),"{自分}",設定!$B$4),"{サービス}",設定!$B$5),"{料金}",設定!$B$7),"{日付1}",設定!$B$8),"{日付2}",設定!$B$9),"{時間1}",設定!$B$10),"{時間2}",設定!$B$11),"{時間}","（指定時間）"),"{日付確定}","（確定日）"),"{時間確定}","（確定時間）"))</f>
        <v/>
      </c>
      <c r="Y106" s="1" t="str">
        <f>IFERROR(VLOOKUP(DB106,スクリプト_フロー!$A:$F,4,FALSE),"")</f>
        <v/>
      </c>
      <c r="Z106" s="6" t="str">
        <f t="shared" si="30"/>
        <v/>
      </c>
      <c r="AA106" s="6"/>
      <c r="AB106" s="4" t="str">
        <f>IF(DE106="","",SUBSTITUTE(SUBSTITUTE(SUBSTITUTE(SUBSTITUTE(SUBSTITUTE(SUBSTITUTE(SUBSTITUTE(SUBSTITUTE(SUBSTITUTE(SUBSTITUTE(SUBSTITUTE(DE106,"{会社}",設定!$B$3),"{自分}",設定!$B$4),"{サービス}",設定!$B$5),"{料金}",設定!$B$7),"{日付1}",設定!$B$8),"{日付2}",設定!$B$9),"{時間1}",設定!$B$10),"{時間2}",設定!$B$11),"{時間}","（指定時間）"),"{日付確定}","（確定日）"),"{時間確定}","（確定時間）"))</f>
        <v/>
      </c>
      <c r="AC106" s="1" t="str">
        <f>IFERROR(VLOOKUP(DD106,スクリプト_フロー!$A:$F,4,FALSE),"")</f>
        <v/>
      </c>
      <c r="AD106" s="6" t="str">
        <f t="shared" si="31"/>
        <v/>
      </c>
      <c r="AE106" s="6"/>
      <c r="AF106" s="4" t="str">
        <f>IF(DG106="","",SUBSTITUTE(SUBSTITUTE(SUBSTITUTE(SUBSTITUTE(SUBSTITUTE(SUBSTITUTE(SUBSTITUTE(SUBSTITUTE(SUBSTITUTE(SUBSTITUTE(SUBSTITUTE(DG106,"{会社}",設定!$B$3),"{自分}",設定!$B$4),"{サービス}",設定!$B$5),"{料金}",設定!$B$7),"{日付1}",設定!$B$8),"{日付2}",設定!$B$9),"{時間1}",設定!$B$10),"{時間2}",設定!$B$11),"{時間}","（指定時間）"),"{日付確定}","（確定日）"),"{時間確定}","（確定時間）"))</f>
        <v/>
      </c>
      <c r="AG106" s="1" t="str">
        <f>IFERROR(VLOOKUP(DF106,スクリプト_フロー!$A:$F,4,FALSE),"")</f>
        <v/>
      </c>
      <c r="CZ106" s="1" t="str">
        <f t="shared" si="32"/>
        <v>|</v>
      </c>
      <c r="DA106" s="1" t="str">
        <f>IFERROR(VLOOKUP(CZ106,スクリプト_フロー!$A:$F,5,FALSE),"")</f>
        <v/>
      </c>
      <c r="DB106" s="1" t="str">
        <f t="shared" si="33"/>
        <v>|</v>
      </c>
      <c r="DC106" s="1" t="str">
        <f>IFERROR(VLOOKUP(DB106,スクリプト_フロー!$A:$F,5,FALSE),"")</f>
        <v/>
      </c>
      <c r="DD106" s="1" t="str">
        <f t="shared" si="34"/>
        <v>|</v>
      </c>
      <c r="DE106" s="1" t="str">
        <f>IFERROR(VLOOKUP(DD106,スクリプト_フロー!$A:$F,5,FALSE),"")</f>
        <v/>
      </c>
      <c r="DF106" s="1" t="str">
        <f t="shared" si="35"/>
        <v>|</v>
      </c>
      <c r="DG106" s="1" t="str">
        <f>IFERROR(VLOOKUP(DF106,スクリプト_フロー!$A:$F,5,FALSE),"")</f>
        <v/>
      </c>
    </row>
    <row r="107" spans="1:111" ht="21">
      <c r="A107" s="1">
        <v>106</v>
      </c>
      <c r="B107" s="1" t="s">
        <v>301</v>
      </c>
      <c r="C107" s="1" t="s">
        <v>302</v>
      </c>
      <c r="D107" s="1" t="s">
        <v>62</v>
      </c>
      <c r="E107" s="6"/>
      <c r="F107" s="6"/>
      <c r="G107" s="6" t="s">
        <v>34</v>
      </c>
      <c r="H107" s="6"/>
      <c r="I107" s="4" t="str">
        <f>SUBSTITUTE(SUBSTITUTE(SUBSTITUTE(SUBSTITUTE(SUBSTITUTE(SUBSTITUTE(SUBSTITUTE(SUBSTITUTE(SUBSTITUTE(SUBSTITUTE(SUBSTITUTE(Q107,"{会社}",設定!$B$3),"{自分}",設定!$B$4),"{サービス}",設定!$B$5),"{料金}",設定!$B$7),"{日付1}",設定!$B$8),"{日付2}",設定!$B$9),"{時間1}",設定!$B$10),"{時間2}",設定!$B$11),"{時間}","（指定時間）"),"{日付確定}","（確定日）"),"{時間確定}","（確定時間）")</f>
        <v/>
      </c>
      <c r="J107" s="1" t="str">
        <f>IFERROR(VLOOKUP(P107,スクリプト_フロー!$A:$F,4,FALSE),"")</f>
        <v/>
      </c>
      <c r="K107" s="6" t="s">
        <v>35</v>
      </c>
      <c r="L107" s="6"/>
      <c r="M107" s="6"/>
      <c r="N107" s="6"/>
      <c r="O107" s="1"/>
      <c r="P107" s="1" t="str">
        <f t="shared" si="27"/>
        <v>①架電|</v>
      </c>
      <c r="Q107" s="1" t="str">
        <f>IFERROR(VLOOKUP(P107,スクリプト_フロー!$A:$F,5,FALSE),"")</f>
        <v/>
      </c>
      <c r="R107" s="6" t="str">
        <f t="shared" si="28"/>
        <v/>
      </c>
      <c r="S107" s="6"/>
      <c r="T107" s="4" t="str">
        <f>IF(DA107="","",SUBSTITUTE(SUBSTITUTE(SUBSTITUTE(SUBSTITUTE(SUBSTITUTE(SUBSTITUTE(SUBSTITUTE(SUBSTITUTE(SUBSTITUTE(SUBSTITUTE(SUBSTITUTE(DA107,"{会社}",設定!$B$3),"{自分}",設定!$B$4),"{サービス}",設定!$B$5),"{料金}",設定!$B$7),"{日付1}",設定!$B$8),"{日付2}",設定!$B$9),"{時間1}",設定!$B$10),"{時間2}",設定!$B$11),"{時間}","（指定時間）"),"{日付確定}","（確定日）"),"{時間確定}","（確定時間）"))</f>
        <v/>
      </c>
      <c r="U107" s="1" t="str">
        <f>IFERROR(VLOOKUP(CZ107,スクリプト_フロー!$A:$F,4,FALSE),"")</f>
        <v/>
      </c>
      <c r="V107" s="6" t="str">
        <f t="shared" si="29"/>
        <v/>
      </c>
      <c r="W107" s="6"/>
      <c r="X107" s="4" t="str">
        <f>IF(DC107="","",SUBSTITUTE(SUBSTITUTE(SUBSTITUTE(SUBSTITUTE(SUBSTITUTE(SUBSTITUTE(SUBSTITUTE(SUBSTITUTE(SUBSTITUTE(SUBSTITUTE(SUBSTITUTE(DC107,"{会社}",設定!$B$3),"{自分}",設定!$B$4),"{サービス}",設定!$B$5),"{料金}",設定!$B$7),"{日付1}",設定!$B$8),"{日付2}",設定!$B$9),"{時間1}",設定!$B$10),"{時間2}",設定!$B$11),"{時間}","（指定時間）"),"{日付確定}","（確定日）"),"{時間確定}","（確定時間）"))</f>
        <v/>
      </c>
      <c r="Y107" s="1" t="str">
        <f>IFERROR(VLOOKUP(DB107,スクリプト_フロー!$A:$F,4,FALSE),"")</f>
        <v/>
      </c>
      <c r="Z107" s="6" t="str">
        <f t="shared" si="30"/>
        <v/>
      </c>
      <c r="AA107" s="6"/>
      <c r="AB107" s="4" t="str">
        <f>IF(DE107="","",SUBSTITUTE(SUBSTITUTE(SUBSTITUTE(SUBSTITUTE(SUBSTITUTE(SUBSTITUTE(SUBSTITUTE(SUBSTITUTE(SUBSTITUTE(SUBSTITUTE(SUBSTITUTE(DE107,"{会社}",設定!$B$3),"{自分}",設定!$B$4),"{サービス}",設定!$B$5),"{料金}",設定!$B$7),"{日付1}",設定!$B$8),"{日付2}",設定!$B$9),"{時間1}",設定!$B$10),"{時間2}",設定!$B$11),"{時間}","（指定時間）"),"{日付確定}","（確定日）"),"{時間確定}","（確定時間）"))</f>
        <v/>
      </c>
      <c r="AC107" s="1" t="str">
        <f>IFERROR(VLOOKUP(DD107,スクリプト_フロー!$A:$F,4,FALSE),"")</f>
        <v/>
      </c>
      <c r="AD107" s="6" t="str">
        <f t="shared" si="31"/>
        <v/>
      </c>
      <c r="AE107" s="6"/>
      <c r="AF107" s="4" t="str">
        <f>IF(DG107="","",SUBSTITUTE(SUBSTITUTE(SUBSTITUTE(SUBSTITUTE(SUBSTITUTE(SUBSTITUTE(SUBSTITUTE(SUBSTITUTE(SUBSTITUTE(SUBSTITUTE(SUBSTITUTE(DG107,"{会社}",設定!$B$3),"{自分}",設定!$B$4),"{サービス}",設定!$B$5),"{料金}",設定!$B$7),"{日付1}",設定!$B$8),"{日付2}",設定!$B$9),"{時間1}",設定!$B$10),"{時間2}",設定!$B$11),"{時間}","（指定時間）"),"{日付確定}","（確定日）"),"{時間確定}","（確定時間）"))</f>
        <v/>
      </c>
      <c r="AG107" s="1" t="str">
        <f>IFERROR(VLOOKUP(DF107,スクリプト_フロー!$A:$F,4,FALSE),"")</f>
        <v/>
      </c>
      <c r="CZ107" s="1" t="str">
        <f t="shared" si="32"/>
        <v>|</v>
      </c>
      <c r="DA107" s="1" t="str">
        <f>IFERROR(VLOOKUP(CZ107,スクリプト_フロー!$A:$F,5,FALSE),"")</f>
        <v/>
      </c>
      <c r="DB107" s="1" t="str">
        <f t="shared" si="33"/>
        <v>|</v>
      </c>
      <c r="DC107" s="1" t="str">
        <f>IFERROR(VLOOKUP(DB107,スクリプト_フロー!$A:$F,5,FALSE),"")</f>
        <v/>
      </c>
      <c r="DD107" s="1" t="str">
        <f t="shared" si="34"/>
        <v>|</v>
      </c>
      <c r="DE107" s="1" t="str">
        <f>IFERROR(VLOOKUP(DD107,スクリプト_フロー!$A:$F,5,FALSE),"")</f>
        <v/>
      </c>
      <c r="DF107" s="1" t="str">
        <f t="shared" si="35"/>
        <v>|</v>
      </c>
      <c r="DG107" s="1" t="str">
        <f>IFERROR(VLOOKUP(DF107,スクリプト_フロー!$A:$F,5,FALSE),"")</f>
        <v/>
      </c>
    </row>
    <row r="108" spans="1:111" ht="21">
      <c r="A108" s="1">
        <v>107</v>
      </c>
      <c r="B108" s="1" t="s">
        <v>303</v>
      </c>
      <c r="C108" s="1" t="s">
        <v>304</v>
      </c>
      <c r="D108" s="1" t="s">
        <v>62</v>
      </c>
      <c r="E108" s="6"/>
      <c r="F108" s="6"/>
      <c r="G108" s="6" t="s">
        <v>34</v>
      </c>
      <c r="H108" s="6"/>
      <c r="I108" s="4" t="str">
        <f>SUBSTITUTE(SUBSTITUTE(SUBSTITUTE(SUBSTITUTE(SUBSTITUTE(SUBSTITUTE(SUBSTITUTE(SUBSTITUTE(SUBSTITUTE(SUBSTITUTE(SUBSTITUTE(Q108,"{会社}",設定!$B$3),"{自分}",設定!$B$4),"{サービス}",設定!$B$5),"{料金}",設定!$B$7),"{日付1}",設定!$B$8),"{日付2}",設定!$B$9),"{時間1}",設定!$B$10),"{時間2}",設定!$B$11),"{時間}","（指定時間）"),"{日付確定}","（確定日）"),"{時間確定}","（確定時間）")</f>
        <v/>
      </c>
      <c r="J108" s="1" t="str">
        <f>IFERROR(VLOOKUP(P108,スクリプト_フロー!$A:$F,4,FALSE),"")</f>
        <v/>
      </c>
      <c r="K108" s="6" t="s">
        <v>35</v>
      </c>
      <c r="L108" s="6"/>
      <c r="M108" s="6"/>
      <c r="N108" s="6"/>
      <c r="O108" s="1"/>
      <c r="P108" s="1" t="str">
        <f t="shared" si="27"/>
        <v>①架電|</v>
      </c>
      <c r="Q108" s="1" t="str">
        <f>IFERROR(VLOOKUP(P108,スクリプト_フロー!$A:$F,5,FALSE),"")</f>
        <v/>
      </c>
      <c r="R108" s="6" t="str">
        <f t="shared" si="28"/>
        <v/>
      </c>
      <c r="S108" s="6"/>
      <c r="T108" s="4" t="str">
        <f>IF(DA108="","",SUBSTITUTE(SUBSTITUTE(SUBSTITUTE(SUBSTITUTE(SUBSTITUTE(SUBSTITUTE(SUBSTITUTE(SUBSTITUTE(SUBSTITUTE(SUBSTITUTE(SUBSTITUTE(DA108,"{会社}",設定!$B$3),"{自分}",設定!$B$4),"{サービス}",設定!$B$5),"{料金}",設定!$B$7),"{日付1}",設定!$B$8),"{日付2}",設定!$B$9),"{時間1}",設定!$B$10),"{時間2}",設定!$B$11),"{時間}","（指定時間）"),"{日付確定}","（確定日）"),"{時間確定}","（確定時間）"))</f>
        <v/>
      </c>
      <c r="U108" s="1" t="str">
        <f>IFERROR(VLOOKUP(CZ108,スクリプト_フロー!$A:$F,4,FALSE),"")</f>
        <v/>
      </c>
      <c r="V108" s="6" t="str">
        <f t="shared" si="29"/>
        <v/>
      </c>
      <c r="W108" s="6"/>
      <c r="X108" s="4" t="str">
        <f>IF(DC108="","",SUBSTITUTE(SUBSTITUTE(SUBSTITUTE(SUBSTITUTE(SUBSTITUTE(SUBSTITUTE(SUBSTITUTE(SUBSTITUTE(SUBSTITUTE(SUBSTITUTE(SUBSTITUTE(DC108,"{会社}",設定!$B$3),"{自分}",設定!$B$4),"{サービス}",設定!$B$5),"{料金}",設定!$B$7),"{日付1}",設定!$B$8),"{日付2}",設定!$B$9),"{時間1}",設定!$B$10),"{時間2}",設定!$B$11),"{時間}","（指定時間）"),"{日付確定}","（確定日）"),"{時間確定}","（確定時間）"))</f>
        <v/>
      </c>
      <c r="Y108" s="1" t="str">
        <f>IFERROR(VLOOKUP(DB108,スクリプト_フロー!$A:$F,4,FALSE),"")</f>
        <v/>
      </c>
      <c r="Z108" s="6" t="str">
        <f t="shared" si="30"/>
        <v/>
      </c>
      <c r="AA108" s="6"/>
      <c r="AB108" s="4" t="str">
        <f>IF(DE108="","",SUBSTITUTE(SUBSTITUTE(SUBSTITUTE(SUBSTITUTE(SUBSTITUTE(SUBSTITUTE(SUBSTITUTE(SUBSTITUTE(SUBSTITUTE(SUBSTITUTE(SUBSTITUTE(DE108,"{会社}",設定!$B$3),"{自分}",設定!$B$4),"{サービス}",設定!$B$5),"{料金}",設定!$B$7),"{日付1}",設定!$B$8),"{日付2}",設定!$B$9),"{時間1}",設定!$B$10),"{時間2}",設定!$B$11),"{時間}","（指定時間）"),"{日付確定}","（確定日）"),"{時間確定}","（確定時間）"))</f>
        <v/>
      </c>
      <c r="AC108" s="1" t="str">
        <f>IFERROR(VLOOKUP(DD108,スクリプト_フロー!$A:$F,4,FALSE),"")</f>
        <v/>
      </c>
      <c r="AD108" s="6" t="str">
        <f t="shared" si="31"/>
        <v/>
      </c>
      <c r="AE108" s="6"/>
      <c r="AF108" s="4" t="str">
        <f>IF(DG108="","",SUBSTITUTE(SUBSTITUTE(SUBSTITUTE(SUBSTITUTE(SUBSTITUTE(SUBSTITUTE(SUBSTITUTE(SUBSTITUTE(SUBSTITUTE(SUBSTITUTE(SUBSTITUTE(DG108,"{会社}",設定!$B$3),"{自分}",設定!$B$4),"{サービス}",設定!$B$5),"{料金}",設定!$B$7),"{日付1}",設定!$B$8),"{日付2}",設定!$B$9),"{時間1}",設定!$B$10),"{時間2}",設定!$B$11),"{時間}","（指定時間）"),"{日付確定}","（確定日）"),"{時間確定}","（確定時間）"))</f>
        <v/>
      </c>
      <c r="AG108" s="1" t="str">
        <f>IFERROR(VLOOKUP(DF108,スクリプト_フロー!$A:$F,4,FALSE),"")</f>
        <v/>
      </c>
      <c r="CZ108" s="1" t="str">
        <f t="shared" si="32"/>
        <v>|</v>
      </c>
      <c r="DA108" s="1" t="str">
        <f>IFERROR(VLOOKUP(CZ108,スクリプト_フロー!$A:$F,5,FALSE),"")</f>
        <v/>
      </c>
      <c r="DB108" s="1" t="str">
        <f t="shared" si="33"/>
        <v>|</v>
      </c>
      <c r="DC108" s="1" t="str">
        <f>IFERROR(VLOOKUP(DB108,スクリプト_フロー!$A:$F,5,FALSE),"")</f>
        <v/>
      </c>
      <c r="DD108" s="1" t="str">
        <f t="shared" si="34"/>
        <v>|</v>
      </c>
      <c r="DE108" s="1" t="str">
        <f>IFERROR(VLOOKUP(DD108,スクリプト_フロー!$A:$F,5,FALSE),"")</f>
        <v/>
      </c>
      <c r="DF108" s="1" t="str">
        <f t="shared" si="35"/>
        <v>|</v>
      </c>
      <c r="DG108" s="1" t="str">
        <f>IFERROR(VLOOKUP(DF108,スクリプト_フロー!$A:$F,5,FALSE),"")</f>
        <v/>
      </c>
    </row>
    <row r="109" spans="1:111" ht="21">
      <c r="A109" s="1">
        <v>108</v>
      </c>
      <c r="B109" s="1" t="s">
        <v>305</v>
      </c>
      <c r="C109" s="1" t="s">
        <v>306</v>
      </c>
      <c r="D109" s="1" t="s">
        <v>62</v>
      </c>
      <c r="E109" s="6"/>
      <c r="F109" s="6"/>
      <c r="G109" s="6" t="s">
        <v>34</v>
      </c>
      <c r="H109" s="6"/>
      <c r="I109" s="4" t="str">
        <f>SUBSTITUTE(SUBSTITUTE(SUBSTITUTE(SUBSTITUTE(SUBSTITUTE(SUBSTITUTE(SUBSTITUTE(SUBSTITUTE(SUBSTITUTE(SUBSTITUTE(SUBSTITUTE(Q109,"{会社}",設定!$B$3),"{自分}",設定!$B$4),"{サービス}",設定!$B$5),"{料金}",設定!$B$7),"{日付1}",設定!$B$8),"{日付2}",設定!$B$9),"{時間1}",設定!$B$10),"{時間2}",設定!$B$11),"{時間}","（指定時間）"),"{日付確定}","（確定日）"),"{時間確定}","（確定時間）")</f>
        <v/>
      </c>
      <c r="J109" s="1" t="str">
        <f>IFERROR(VLOOKUP(P109,スクリプト_フロー!$A:$F,4,FALSE),"")</f>
        <v/>
      </c>
      <c r="K109" s="6" t="s">
        <v>35</v>
      </c>
      <c r="L109" s="6"/>
      <c r="M109" s="6"/>
      <c r="N109" s="6"/>
      <c r="O109" s="1"/>
      <c r="P109" s="1" t="str">
        <f t="shared" si="27"/>
        <v>①架電|</v>
      </c>
      <c r="Q109" s="1" t="str">
        <f>IFERROR(VLOOKUP(P109,スクリプト_フロー!$A:$F,5,FALSE),"")</f>
        <v/>
      </c>
      <c r="R109" s="6" t="str">
        <f t="shared" si="28"/>
        <v/>
      </c>
      <c r="S109" s="6"/>
      <c r="T109" s="4" t="str">
        <f>IF(DA109="","",SUBSTITUTE(SUBSTITUTE(SUBSTITUTE(SUBSTITUTE(SUBSTITUTE(SUBSTITUTE(SUBSTITUTE(SUBSTITUTE(SUBSTITUTE(SUBSTITUTE(SUBSTITUTE(DA109,"{会社}",設定!$B$3),"{自分}",設定!$B$4),"{サービス}",設定!$B$5),"{料金}",設定!$B$7),"{日付1}",設定!$B$8),"{日付2}",設定!$B$9),"{時間1}",設定!$B$10),"{時間2}",設定!$B$11),"{時間}","（指定時間）"),"{日付確定}","（確定日）"),"{時間確定}","（確定時間）"))</f>
        <v/>
      </c>
      <c r="U109" s="1" t="str">
        <f>IFERROR(VLOOKUP(CZ109,スクリプト_フロー!$A:$F,4,FALSE),"")</f>
        <v/>
      </c>
      <c r="V109" s="6" t="str">
        <f t="shared" si="29"/>
        <v/>
      </c>
      <c r="W109" s="6"/>
      <c r="X109" s="4" t="str">
        <f>IF(DC109="","",SUBSTITUTE(SUBSTITUTE(SUBSTITUTE(SUBSTITUTE(SUBSTITUTE(SUBSTITUTE(SUBSTITUTE(SUBSTITUTE(SUBSTITUTE(SUBSTITUTE(SUBSTITUTE(DC109,"{会社}",設定!$B$3),"{自分}",設定!$B$4),"{サービス}",設定!$B$5),"{料金}",設定!$B$7),"{日付1}",設定!$B$8),"{日付2}",設定!$B$9),"{時間1}",設定!$B$10),"{時間2}",設定!$B$11),"{時間}","（指定時間）"),"{日付確定}","（確定日）"),"{時間確定}","（確定時間）"))</f>
        <v/>
      </c>
      <c r="Y109" s="1" t="str">
        <f>IFERROR(VLOOKUP(DB109,スクリプト_フロー!$A:$F,4,FALSE),"")</f>
        <v/>
      </c>
      <c r="Z109" s="6" t="str">
        <f t="shared" si="30"/>
        <v/>
      </c>
      <c r="AA109" s="6"/>
      <c r="AB109" s="4" t="str">
        <f>IF(DE109="","",SUBSTITUTE(SUBSTITUTE(SUBSTITUTE(SUBSTITUTE(SUBSTITUTE(SUBSTITUTE(SUBSTITUTE(SUBSTITUTE(SUBSTITUTE(SUBSTITUTE(SUBSTITUTE(DE109,"{会社}",設定!$B$3),"{自分}",設定!$B$4),"{サービス}",設定!$B$5),"{料金}",設定!$B$7),"{日付1}",設定!$B$8),"{日付2}",設定!$B$9),"{時間1}",設定!$B$10),"{時間2}",設定!$B$11),"{時間}","（指定時間）"),"{日付確定}","（確定日）"),"{時間確定}","（確定時間）"))</f>
        <v/>
      </c>
      <c r="AC109" s="1" t="str">
        <f>IFERROR(VLOOKUP(DD109,スクリプト_フロー!$A:$F,4,FALSE),"")</f>
        <v/>
      </c>
      <c r="AD109" s="6" t="str">
        <f t="shared" si="31"/>
        <v/>
      </c>
      <c r="AE109" s="6"/>
      <c r="AF109" s="4" t="str">
        <f>IF(DG109="","",SUBSTITUTE(SUBSTITUTE(SUBSTITUTE(SUBSTITUTE(SUBSTITUTE(SUBSTITUTE(SUBSTITUTE(SUBSTITUTE(SUBSTITUTE(SUBSTITUTE(SUBSTITUTE(DG109,"{会社}",設定!$B$3),"{自分}",設定!$B$4),"{サービス}",設定!$B$5),"{料金}",設定!$B$7),"{日付1}",設定!$B$8),"{日付2}",設定!$B$9),"{時間1}",設定!$B$10),"{時間2}",設定!$B$11),"{時間}","（指定時間）"),"{日付確定}","（確定日）"),"{時間確定}","（確定時間）"))</f>
        <v/>
      </c>
      <c r="AG109" s="1" t="str">
        <f>IFERROR(VLOOKUP(DF109,スクリプト_フロー!$A:$F,4,FALSE),"")</f>
        <v/>
      </c>
      <c r="CZ109" s="1" t="str">
        <f t="shared" si="32"/>
        <v>|</v>
      </c>
      <c r="DA109" s="1" t="str">
        <f>IFERROR(VLOOKUP(CZ109,スクリプト_フロー!$A:$F,5,FALSE),"")</f>
        <v/>
      </c>
      <c r="DB109" s="1" t="str">
        <f t="shared" si="33"/>
        <v>|</v>
      </c>
      <c r="DC109" s="1" t="str">
        <f>IFERROR(VLOOKUP(DB109,スクリプト_フロー!$A:$F,5,FALSE),"")</f>
        <v/>
      </c>
      <c r="DD109" s="1" t="str">
        <f t="shared" si="34"/>
        <v>|</v>
      </c>
      <c r="DE109" s="1" t="str">
        <f>IFERROR(VLOOKUP(DD109,スクリプト_フロー!$A:$F,5,FALSE),"")</f>
        <v/>
      </c>
      <c r="DF109" s="1" t="str">
        <f t="shared" si="35"/>
        <v>|</v>
      </c>
      <c r="DG109" s="1" t="str">
        <f>IFERROR(VLOOKUP(DF109,スクリプト_フロー!$A:$F,5,FALSE),"")</f>
        <v/>
      </c>
    </row>
    <row r="110" spans="1:111" ht="21">
      <c r="A110" s="1">
        <v>109</v>
      </c>
      <c r="B110" s="1" t="s">
        <v>307</v>
      </c>
      <c r="C110" s="1" t="s">
        <v>308</v>
      </c>
      <c r="D110" s="1" t="s">
        <v>62</v>
      </c>
      <c r="E110" s="6"/>
      <c r="F110" s="6"/>
      <c r="G110" s="6" t="s">
        <v>34</v>
      </c>
      <c r="H110" s="6"/>
      <c r="I110" s="4" t="str">
        <f>SUBSTITUTE(SUBSTITUTE(SUBSTITUTE(SUBSTITUTE(SUBSTITUTE(SUBSTITUTE(SUBSTITUTE(SUBSTITUTE(SUBSTITUTE(SUBSTITUTE(SUBSTITUTE(Q110,"{会社}",設定!$B$3),"{自分}",設定!$B$4),"{サービス}",設定!$B$5),"{料金}",設定!$B$7),"{日付1}",設定!$B$8),"{日付2}",設定!$B$9),"{時間1}",設定!$B$10),"{時間2}",設定!$B$11),"{時間}","（指定時間）"),"{日付確定}","（確定日）"),"{時間確定}","（確定時間）")</f>
        <v/>
      </c>
      <c r="J110" s="1" t="str">
        <f>IFERROR(VLOOKUP(P110,スクリプト_フロー!$A:$F,4,FALSE),"")</f>
        <v/>
      </c>
      <c r="K110" s="6" t="s">
        <v>35</v>
      </c>
      <c r="L110" s="6"/>
      <c r="M110" s="6"/>
      <c r="N110" s="6"/>
      <c r="O110" s="1"/>
      <c r="P110" s="1" t="str">
        <f t="shared" si="27"/>
        <v>①架電|</v>
      </c>
      <c r="Q110" s="1" t="str">
        <f>IFERROR(VLOOKUP(P110,スクリプト_フロー!$A:$F,5,FALSE),"")</f>
        <v/>
      </c>
      <c r="R110" s="6" t="str">
        <f t="shared" si="28"/>
        <v/>
      </c>
      <c r="S110" s="6"/>
      <c r="T110" s="4" t="str">
        <f>IF(DA110="","",SUBSTITUTE(SUBSTITUTE(SUBSTITUTE(SUBSTITUTE(SUBSTITUTE(SUBSTITUTE(SUBSTITUTE(SUBSTITUTE(SUBSTITUTE(SUBSTITUTE(SUBSTITUTE(DA110,"{会社}",設定!$B$3),"{自分}",設定!$B$4),"{サービス}",設定!$B$5),"{料金}",設定!$B$7),"{日付1}",設定!$B$8),"{日付2}",設定!$B$9),"{時間1}",設定!$B$10),"{時間2}",設定!$B$11),"{時間}","（指定時間）"),"{日付確定}","（確定日）"),"{時間確定}","（確定時間）"))</f>
        <v/>
      </c>
      <c r="U110" s="1" t="str">
        <f>IFERROR(VLOOKUP(CZ110,スクリプト_フロー!$A:$F,4,FALSE),"")</f>
        <v/>
      </c>
      <c r="V110" s="6" t="str">
        <f t="shared" si="29"/>
        <v/>
      </c>
      <c r="W110" s="6"/>
      <c r="X110" s="4" t="str">
        <f>IF(DC110="","",SUBSTITUTE(SUBSTITUTE(SUBSTITUTE(SUBSTITUTE(SUBSTITUTE(SUBSTITUTE(SUBSTITUTE(SUBSTITUTE(SUBSTITUTE(SUBSTITUTE(SUBSTITUTE(DC110,"{会社}",設定!$B$3),"{自分}",設定!$B$4),"{サービス}",設定!$B$5),"{料金}",設定!$B$7),"{日付1}",設定!$B$8),"{日付2}",設定!$B$9),"{時間1}",設定!$B$10),"{時間2}",設定!$B$11),"{時間}","（指定時間）"),"{日付確定}","（確定日）"),"{時間確定}","（確定時間）"))</f>
        <v/>
      </c>
      <c r="Y110" s="1" t="str">
        <f>IFERROR(VLOOKUP(DB110,スクリプト_フロー!$A:$F,4,FALSE),"")</f>
        <v/>
      </c>
      <c r="Z110" s="6" t="str">
        <f t="shared" si="30"/>
        <v/>
      </c>
      <c r="AA110" s="6"/>
      <c r="AB110" s="4" t="str">
        <f>IF(DE110="","",SUBSTITUTE(SUBSTITUTE(SUBSTITUTE(SUBSTITUTE(SUBSTITUTE(SUBSTITUTE(SUBSTITUTE(SUBSTITUTE(SUBSTITUTE(SUBSTITUTE(SUBSTITUTE(DE110,"{会社}",設定!$B$3),"{自分}",設定!$B$4),"{サービス}",設定!$B$5),"{料金}",設定!$B$7),"{日付1}",設定!$B$8),"{日付2}",設定!$B$9),"{時間1}",設定!$B$10),"{時間2}",設定!$B$11),"{時間}","（指定時間）"),"{日付確定}","（確定日）"),"{時間確定}","（確定時間）"))</f>
        <v/>
      </c>
      <c r="AC110" s="1" t="str">
        <f>IFERROR(VLOOKUP(DD110,スクリプト_フロー!$A:$F,4,FALSE),"")</f>
        <v/>
      </c>
      <c r="AD110" s="6" t="str">
        <f t="shared" si="31"/>
        <v/>
      </c>
      <c r="AE110" s="6"/>
      <c r="AF110" s="4" t="str">
        <f>IF(DG110="","",SUBSTITUTE(SUBSTITUTE(SUBSTITUTE(SUBSTITUTE(SUBSTITUTE(SUBSTITUTE(SUBSTITUTE(SUBSTITUTE(SUBSTITUTE(SUBSTITUTE(SUBSTITUTE(DG110,"{会社}",設定!$B$3),"{自分}",設定!$B$4),"{サービス}",設定!$B$5),"{料金}",設定!$B$7),"{日付1}",設定!$B$8),"{日付2}",設定!$B$9),"{時間1}",設定!$B$10),"{時間2}",設定!$B$11),"{時間}","（指定時間）"),"{日付確定}","（確定日）"),"{時間確定}","（確定時間）"))</f>
        <v/>
      </c>
      <c r="AG110" s="1" t="str">
        <f>IFERROR(VLOOKUP(DF110,スクリプト_フロー!$A:$F,4,FALSE),"")</f>
        <v/>
      </c>
      <c r="CZ110" s="1" t="str">
        <f t="shared" si="32"/>
        <v>|</v>
      </c>
      <c r="DA110" s="1" t="str">
        <f>IFERROR(VLOOKUP(CZ110,スクリプト_フロー!$A:$F,5,FALSE),"")</f>
        <v/>
      </c>
      <c r="DB110" s="1" t="str">
        <f t="shared" si="33"/>
        <v>|</v>
      </c>
      <c r="DC110" s="1" t="str">
        <f>IFERROR(VLOOKUP(DB110,スクリプト_フロー!$A:$F,5,FALSE),"")</f>
        <v/>
      </c>
      <c r="DD110" s="1" t="str">
        <f t="shared" si="34"/>
        <v>|</v>
      </c>
      <c r="DE110" s="1" t="str">
        <f>IFERROR(VLOOKUP(DD110,スクリプト_フロー!$A:$F,5,FALSE),"")</f>
        <v/>
      </c>
      <c r="DF110" s="1" t="str">
        <f t="shared" si="35"/>
        <v>|</v>
      </c>
      <c r="DG110" s="1" t="str">
        <f>IFERROR(VLOOKUP(DF110,スクリプト_フロー!$A:$F,5,FALSE),"")</f>
        <v/>
      </c>
    </row>
    <row r="111" spans="1:111" ht="21">
      <c r="A111" s="1">
        <v>110</v>
      </c>
      <c r="B111" s="1" t="s">
        <v>309</v>
      </c>
      <c r="C111" s="1" t="s">
        <v>310</v>
      </c>
      <c r="D111" s="1" t="s">
        <v>62</v>
      </c>
      <c r="E111" s="6"/>
      <c r="F111" s="6"/>
      <c r="G111" s="6" t="s">
        <v>34</v>
      </c>
      <c r="H111" s="6"/>
      <c r="I111" s="4" t="str">
        <f>SUBSTITUTE(SUBSTITUTE(SUBSTITUTE(SUBSTITUTE(SUBSTITUTE(SUBSTITUTE(SUBSTITUTE(SUBSTITUTE(SUBSTITUTE(SUBSTITUTE(SUBSTITUTE(Q111,"{会社}",設定!$B$3),"{自分}",設定!$B$4),"{サービス}",設定!$B$5),"{料金}",設定!$B$7),"{日付1}",設定!$B$8),"{日付2}",設定!$B$9),"{時間1}",設定!$B$10),"{時間2}",設定!$B$11),"{時間}","（指定時間）"),"{日付確定}","（確定日）"),"{時間確定}","（確定時間）")</f>
        <v/>
      </c>
      <c r="J111" s="1" t="str">
        <f>IFERROR(VLOOKUP(P111,スクリプト_フロー!$A:$F,4,FALSE),"")</f>
        <v/>
      </c>
      <c r="K111" s="6" t="s">
        <v>35</v>
      </c>
      <c r="L111" s="6"/>
      <c r="M111" s="6"/>
      <c r="N111" s="6"/>
      <c r="O111" s="1"/>
      <c r="P111" s="1" t="str">
        <f t="shared" si="27"/>
        <v>①架電|</v>
      </c>
      <c r="Q111" s="1" t="str">
        <f>IFERROR(VLOOKUP(P111,スクリプト_フロー!$A:$F,5,FALSE),"")</f>
        <v/>
      </c>
      <c r="R111" s="6" t="str">
        <f t="shared" si="28"/>
        <v/>
      </c>
      <c r="S111" s="6"/>
      <c r="T111" s="4" t="str">
        <f>IF(DA111="","",SUBSTITUTE(SUBSTITUTE(SUBSTITUTE(SUBSTITUTE(SUBSTITUTE(SUBSTITUTE(SUBSTITUTE(SUBSTITUTE(SUBSTITUTE(SUBSTITUTE(SUBSTITUTE(DA111,"{会社}",設定!$B$3),"{自分}",設定!$B$4),"{サービス}",設定!$B$5),"{料金}",設定!$B$7),"{日付1}",設定!$B$8),"{日付2}",設定!$B$9),"{時間1}",設定!$B$10),"{時間2}",設定!$B$11),"{時間}","（指定時間）"),"{日付確定}","（確定日）"),"{時間確定}","（確定時間）"))</f>
        <v/>
      </c>
      <c r="U111" s="1" t="str">
        <f>IFERROR(VLOOKUP(CZ111,スクリプト_フロー!$A:$F,4,FALSE),"")</f>
        <v/>
      </c>
      <c r="V111" s="6" t="str">
        <f t="shared" si="29"/>
        <v/>
      </c>
      <c r="W111" s="6"/>
      <c r="X111" s="4" t="str">
        <f>IF(DC111="","",SUBSTITUTE(SUBSTITUTE(SUBSTITUTE(SUBSTITUTE(SUBSTITUTE(SUBSTITUTE(SUBSTITUTE(SUBSTITUTE(SUBSTITUTE(SUBSTITUTE(SUBSTITUTE(DC111,"{会社}",設定!$B$3),"{自分}",設定!$B$4),"{サービス}",設定!$B$5),"{料金}",設定!$B$7),"{日付1}",設定!$B$8),"{日付2}",設定!$B$9),"{時間1}",設定!$B$10),"{時間2}",設定!$B$11),"{時間}","（指定時間）"),"{日付確定}","（確定日）"),"{時間確定}","（確定時間）"))</f>
        <v/>
      </c>
      <c r="Y111" s="1" t="str">
        <f>IFERROR(VLOOKUP(DB111,スクリプト_フロー!$A:$F,4,FALSE),"")</f>
        <v/>
      </c>
      <c r="Z111" s="6" t="str">
        <f t="shared" si="30"/>
        <v/>
      </c>
      <c r="AA111" s="6"/>
      <c r="AB111" s="4" t="str">
        <f>IF(DE111="","",SUBSTITUTE(SUBSTITUTE(SUBSTITUTE(SUBSTITUTE(SUBSTITUTE(SUBSTITUTE(SUBSTITUTE(SUBSTITUTE(SUBSTITUTE(SUBSTITUTE(SUBSTITUTE(DE111,"{会社}",設定!$B$3),"{自分}",設定!$B$4),"{サービス}",設定!$B$5),"{料金}",設定!$B$7),"{日付1}",設定!$B$8),"{日付2}",設定!$B$9),"{時間1}",設定!$B$10),"{時間2}",設定!$B$11),"{時間}","（指定時間）"),"{日付確定}","（確定日）"),"{時間確定}","（確定時間）"))</f>
        <v/>
      </c>
      <c r="AC111" s="1" t="str">
        <f>IFERROR(VLOOKUP(DD111,スクリプト_フロー!$A:$F,4,FALSE),"")</f>
        <v/>
      </c>
      <c r="AD111" s="6" t="str">
        <f t="shared" si="31"/>
        <v/>
      </c>
      <c r="AE111" s="6"/>
      <c r="AF111" s="4" t="str">
        <f>IF(DG111="","",SUBSTITUTE(SUBSTITUTE(SUBSTITUTE(SUBSTITUTE(SUBSTITUTE(SUBSTITUTE(SUBSTITUTE(SUBSTITUTE(SUBSTITUTE(SUBSTITUTE(SUBSTITUTE(DG111,"{会社}",設定!$B$3),"{自分}",設定!$B$4),"{サービス}",設定!$B$5),"{料金}",設定!$B$7),"{日付1}",設定!$B$8),"{日付2}",設定!$B$9),"{時間1}",設定!$B$10),"{時間2}",設定!$B$11),"{時間}","（指定時間）"),"{日付確定}","（確定日）"),"{時間確定}","（確定時間）"))</f>
        <v/>
      </c>
      <c r="AG111" s="1" t="str">
        <f>IFERROR(VLOOKUP(DF111,スクリプト_フロー!$A:$F,4,FALSE),"")</f>
        <v/>
      </c>
      <c r="CZ111" s="1" t="str">
        <f t="shared" si="32"/>
        <v>|</v>
      </c>
      <c r="DA111" s="1" t="str">
        <f>IFERROR(VLOOKUP(CZ111,スクリプト_フロー!$A:$F,5,FALSE),"")</f>
        <v/>
      </c>
      <c r="DB111" s="1" t="str">
        <f t="shared" si="33"/>
        <v>|</v>
      </c>
      <c r="DC111" s="1" t="str">
        <f>IFERROR(VLOOKUP(DB111,スクリプト_フロー!$A:$F,5,FALSE),"")</f>
        <v/>
      </c>
      <c r="DD111" s="1" t="str">
        <f t="shared" si="34"/>
        <v>|</v>
      </c>
      <c r="DE111" s="1" t="str">
        <f>IFERROR(VLOOKUP(DD111,スクリプト_フロー!$A:$F,5,FALSE),"")</f>
        <v/>
      </c>
      <c r="DF111" s="1" t="str">
        <f t="shared" si="35"/>
        <v>|</v>
      </c>
      <c r="DG111" s="1" t="str">
        <f>IFERROR(VLOOKUP(DF111,スクリプト_フロー!$A:$F,5,FALSE),"")</f>
        <v/>
      </c>
    </row>
    <row r="112" spans="1:111" ht="21">
      <c r="A112" s="1">
        <v>111</v>
      </c>
      <c r="B112" s="1" t="s">
        <v>311</v>
      </c>
      <c r="C112" s="1" t="s">
        <v>312</v>
      </c>
      <c r="D112" s="1" t="s">
        <v>62</v>
      </c>
      <c r="E112" s="6"/>
      <c r="F112" s="6"/>
      <c r="G112" s="6" t="s">
        <v>34</v>
      </c>
      <c r="H112" s="6"/>
      <c r="I112" s="4" t="str">
        <f>SUBSTITUTE(SUBSTITUTE(SUBSTITUTE(SUBSTITUTE(SUBSTITUTE(SUBSTITUTE(SUBSTITUTE(SUBSTITUTE(SUBSTITUTE(SUBSTITUTE(SUBSTITUTE(Q112,"{会社}",設定!$B$3),"{自分}",設定!$B$4),"{サービス}",設定!$B$5),"{料金}",設定!$B$7),"{日付1}",設定!$B$8),"{日付2}",設定!$B$9),"{時間1}",設定!$B$10),"{時間2}",設定!$B$11),"{時間}","（指定時間）"),"{日付確定}","（確定日）"),"{時間確定}","（確定時間）")</f>
        <v/>
      </c>
      <c r="J112" s="1" t="str">
        <f>IFERROR(VLOOKUP(P112,スクリプト_フロー!$A:$F,4,FALSE),"")</f>
        <v/>
      </c>
      <c r="K112" s="6" t="s">
        <v>35</v>
      </c>
      <c r="L112" s="6"/>
      <c r="M112" s="6"/>
      <c r="N112" s="6"/>
      <c r="O112" s="1"/>
      <c r="P112" s="1" t="str">
        <f t="shared" si="27"/>
        <v>①架電|</v>
      </c>
      <c r="Q112" s="1" t="str">
        <f>IFERROR(VLOOKUP(P112,スクリプト_フロー!$A:$F,5,FALSE),"")</f>
        <v/>
      </c>
      <c r="R112" s="6" t="str">
        <f t="shared" si="28"/>
        <v/>
      </c>
      <c r="S112" s="6"/>
      <c r="T112" s="4" t="str">
        <f>IF(DA112="","",SUBSTITUTE(SUBSTITUTE(SUBSTITUTE(SUBSTITUTE(SUBSTITUTE(SUBSTITUTE(SUBSTITUTE(SUBSTITUTE(SUBSTITUTE(SUBSTITUTE(SUBSTITUTE(DA112,"{会社}",設定!$B$3),"{自分}",設定!$B$4),"{サービス}",設定!$B$5),"{料金}",設定!$B$7),"{日付1}",設定!$B$8),"{日付2}",設定!$B$9),"{時間1}",設定!$B$10),"{時間2}",設定!$B$11),"{時間}","（指定時間）"),"{日付確定}","（確定日）"),"{時間確定}","（確定時間）"))</f>
        <v/>
      </c>
      <c r="U112" s="1" t="str">
        <f>IFERROR(VLOOKUP(CZ112,スクリプト_フロー!$A:$F,4,FALSE),"")</f>
        <v/>
      </c>
      <c r="V112" s="6" t="str">
        <f t="shared" si="29"/>
        <v/>
      </c>
      <c r="W112" s="6"/>
      <c r="X112" s="4" t="str">
        <f>IF(DC112="","",SUBSTITUTE(SUBSTITUTE(SUBSTITUTE(SUBSTITUTE(SUBSTITUTE(SUBSTITUTE(SUBSTITUTE(SUBSTITUTE(SUBSTITUTE(SUBSTITUTE(SUBSTITUTE(DC112,"{会社}",設定!$B$3),"{自分}",設定!$B$4),"{サービス}",設定!$B$5),"{料金}",設定!$B$7),"{日付1}",設定!$B$8),"{日付2}",設定!$B$9),"{時間1}",設定!$B$10),"{時間2}",設定!$B$11),"{時間}","（指定時間）"),"{日付確定}","（確定日）"),"{時間確定}","（確定時間）"))</f>
        <v/>
      </c>
      <c r="Y112" s="1" t="str">
        <f>IFERROR(VLOOKUP(DB112,スクリプト_フロー!$A:$F,4,FALSE),"")</f>
        <v/>
      </c>
      <c r="Z112" s="6" t="str">
        <f t="shared" si="30"/>
        <v/>
      </c>
      <c r="AA112" s="6"/>
      <c r="AB112" s="4" t="str">
        <f>IF(DE112="","",SUBSTITUTE(SUBSTITUTE(SUBSTITUTE(SUBSTITUTE(SUBSTITUTE(SUBSTITUTE(SUBSTITUTE(SUBSTITUTE(SUBSTITUTE(SUBSTITUTE(SUBSTITUTE(DE112,"{会社}",設定!$B$3),"{自分}",設定!$B$4),"{サービス}",設定!$B$5),"{料金}",設定!$B$7),"{日付1}",設定!$B$8),"{日付2}",設定!$B$9),"{時間1}",設定!$B$10),"{時間2}",設定!$B$11),"{時間}","（指定時間）"),"{日付確定}","（確定日）"),"{時間確定}","（確定時間）"))</f>
        <v/>
      </c>
      <c r="AC112" s="1" t="str">
        <f>IFERROR(VLOOKUP(DD112,スクリプト_フロー!$A:$F,4,FALSE),"")</f>
        <v/>
      </c>
      <c r="AD112" s="6" t="str">
        <f t="shared" si="31"/>
        <v/>
      </c>
      <c r="AE112" s="6"/>
      <c r="AF112" s="4" t="str">
        <f>IF(DG112="","",SUBSTITUTE(SUBSTITUTE(SUBSTITUTE(SUBSTITUTE(SUBSTITUTE(SUBSTITUTE(SUBSTITUTE(SUBSTITUTE(SUBSTITUTE(SUBSTITUTE(SUBSTITUTE(DG112,"{会社}",設定!$B$3),"{自分}",設定!$B$4),"{サービス}",設定!$B$5),"{料金}",設定!$B$7),"{日付1}",設定!$B$8),"{日付2}",設定!$B$9),"{時間1}",設定!$B$10),"{時間2}",設定!$B$11),"{時間}","（指定時間）"),"{日付確定}","（確定日）"),"{時間確定}","（確定時間）"))</f>
        <v/>
      </c>
      <c r="AG112" s="1" t="str">
        <f>IFERROR(VLOOKUP(DF112,スクリプト_フロー!$A:$F,4,FALSE),"")</f>
        <v/>
      </c>
      <c r="CZ112" s="1" t="str">
        <f t="shared" si="32"/>
        <v>|</v>
      </c>
      <c r="DA112" s="1" t="str">
        <f>IFERROR(VLOOKUP(CZ112,スクリプト_フロー!$A:$F,5,FALSE),"")</f>
        <v/>
      </c>
      <c r="DB112" s="1" t="str">
        <f t="shared" si="33"/>
        <v>|</v>
      </c>
      <c r="DC112" s="1" t="str">
        <f>IFERROR(VLOOKUP(DB112,スクリプト_フロー!$A:$F,5,FALSE),"")</f>
        <v/>
      </c>
      <c r="DD112" s="1" t="str">
        <f t="shared" si="34"/>
        <v>|</v>
      </c>
      <c r="DE112" s="1" t="str">
        <f>IFERROR(VLOOKUP(DD112,スクリプト_フロー!$A:$F,5,FALSE),"")</f>
        <v/>
      </c>
      <c r="DF112" s="1" t="str">
        <f t="shared" si="35"/>
        <v>|</v>
      </c>
      <c r="DG112" s="1" t="str">
        <f>IFERROR(VLOOKUP(DF112,スクリプト_フロー!$A:$F,5,FALSE),"")</f>
        <v/>
      </c>
    </row>
    <row r="113" spans="1:111" ht="21">
      <c r="A113" s="1">
        <v>112</v>
      </c>
      <c r="B113" s="1" t="s">
        <v>313</v>
      </c>
      <c r="C113" s="1" t="s">
        <v>314</v>
      </c>
      <c r="D113" s="1" t="s">
        <v>62</v>
      </c>
      <c r="E113" s="6"/>
      <c r="F113" s="6"/>
      <c r="G113" s="6" t="s">
        <v>34</v>
      </c>
      <c r="H113" s="6"/>
      <c r="I113" s="4" t="str">
        <f>SUBSTITUTE(SUBSTITUTE(SUBSTITUTE(SUBSTITUTE(SUBSTITUTE(SUBSTITUTE(SUBSTITUTE(SUBSTITUTE(SUBSTITUTE(SUBSTITUTE(SUBSTITUTE(Q113,"{会社}",設定!$B$3),"{自分}",設定!$B$4),"{サービス}",設定!$B$5),"{料金}",設定!$B$7),"{日付1}",設定!$B$8),"{日付2}",設定!$B$9),"{時間1}",設定!$B$10),"{時間2}",設定!$B$11),"{時間}","（指定時間）"),"{日付確定}","（確定日）"),"{時間確定}","（確定時間）")</f>
        <v/>
      </c>
      <c r="J113" s="1" t="str">
        <f>IFERROR(VLOOKUP(P113,スクリプト_フロー!$A:$F,4,FALSE),"")</f>
        <v/>
      </c>
      <c r="K113" s="6" t="s">
        <v>35</v>
      </c>
      <c r="L113" s="6"/>
      <c r="M113" s="6"/>
      <c r="N113" s="6"/>
      <c r="O113" s="1"/>
      <c r="P113" s="1" t="str">
        <f t="shared" si="27"/>
        <v>①架電|</v>
      </c>
      <c r="Q113" s="1" t="str">
        <f>IFERROR(VLOOKUP(P113,スクリプト_フロー!$A:$F,5,FALSE),"")</f>
        <v/>
      </c>
      <c r="R113" s="6" t="str">
        <f t="shared" si="28"/>
        <v/>
      </c>
      <c r="S113" s="6"/>
      <c r="T113" s="4" t="str">
        <f>IF(DA113="","",SUBSTITUTE(SUBSTITUTE(SUBSTITUTE(SUBSTITUTE(SUBSTITUTE(SUBSTITUTE(SUBSTITUTE(SUBSTITUTE(SUBSTITUTE(SUBSTITUTE(SUBSTITUTE(DA113,"{会社}",設定!$B$3),"{自分}",設定!$B$4),"{サービス}",設定!$B$5),"{料金}",設定!$B$7),"{日付1}",設定!$B$8),"{日付2}",設定!$B$9),"{時間1}",設定!$B$10),"{時間2}",設定!$B$11),"{時間}","（指定時間）"),"{日付確定}","（確定日）"),"{時間確定}","（確定時間）"))</f>
        <v/>
      </c>
      <c r="U113" s="1" t="str">
        <f>IFERROR(VLOOKUP(CZ113,スクリプト_フロー!$A:$F,4,FALSE),"")</f>
        <v/>
      </c>
      <c r="V113" s="6" t="str">
        <f t="shared" si="29"/>
        <v/>
      </c>
      <c r="W113" s="6"/>
      <c r="X113" s="4" t="str">
        <f>IF(DC113="","",SUBSTITUTE(SUBSTITUTE(SUBSTITUTE(SUBSTITUTE(SUBSTITUTE(SUBSTITUTE(SUBSTITUTE(SUBSTITUTE(SUBSTITUTE(SUBSTITUTE(SUBSTITUTE(DC113,"{会社}",設定!$B$3),"{自分}",設定!$B$4),"{サービス}",設定!$B$5),"{料金}",設定!$B$7),"{日付1}",設定!$B$8),"{日付2}",設定!$B$9),"{時間1}",設定!$B$10),"{時間2}",設定!$B$11),"{時間}","（指定時間）"),"{日付確定}","（確定日）"),"{時間確定}","（確定時間）"))</f>
        <v/>
      </c>
      <c r="Y113" s="1" t="str">
        <f>IFERROR(VLOOKUP(DB113,スクリプト_フロー!$A:$F,4,FALSE),"")</f>
        <v/>
      </c>
      <c r="Z113" s="6" t="str">
        <f t="shared" si="30"/>
        <v/>
      </c>
      <c r="AA113" s="6"/>
      <c r="AB113" s="4" t="str">
        <f>IF(DE113="","",SUBSTITUTE(SUBSTITUTE(SUBSTITUTE(SUBSTITUTE(SUBSTITUTE(SUBSTITUTE(SUBSTITUTE(SUBSTITUTE(SUBSTITUTE(SUBSTITUTE(SUBSTITUTE(DE113,"{会社}",設定!$B$3),"{自分}",設定!$B$4),"{サービス}",設定!$B$5),"{料金}",設定!$B$7),"{日付1}",設定!$B$8),"{日付2}",設定!$B$9),"{時間1}",設定!$B$10),"{時間2}",設定!$B$11),"{時間}","（指定時間）"),"{日付確定}","（確定日）"),"{時間確定}","（確定時間）"))</f>
        <v/>
      </c>
      <c r="AC113" s="1" t="str">
        <f>IFERROR(VLOOKUP(DD113,スクリプト_フロー!$A:$F,4,FALSE),"")</f>
        <v/>
      </c>
      <c r="AD113" s="6" t="str">
        <f t="shared" si="31"/>
        <v/>
      </c>
      <c r="AE113" s="6"/>
      <c r="AF113" s="4" t="str">
        <f>IF(DG113="","",SUBSTITUTE(SUBSTITUTE(SUBSTITUTE(SUBSTITUTE(SUBSTITUTE(SUBSTITUTE(SUBSTITUTE(SUBSTITUTE(SUBSTITUTE(SUBSTITUTE(SUBSTITUTE(DG113,"{会社}",設定!$B$3),"{自分}",設定!$B$4),"{サービス}",設定!$B$5),"{料金}",設定!$B$7),"{日付1}",設定!$B$8),"{日付2}",設定!$B$9),"{時間1}",設定!$B$10),"{時間2}",設定!$B$11),"{時間}","（指定時間）"),"{日付確定}","（確定日）"),"{時間確定}","（確定時間）"))</f>
        <v/>
      </c>
      <c r="AG113" s="1" t="str">
        <f>IFERROR(VLOOKUP(DF113,スクリプト_フロー!$A:$F,4,FALSE),"")</f>
        <v/>
      </c>
      <c r="CZ113" s="1" t="str">
        <f t="shared" si="32"/>
        <v>|</v>
      </c>
      <c r="DA113" s="1" t="str">
        <f>IFERROR(VLOOKUP(CZ113,スクリプト_フロー!$A:$F,5,FALSE),"")</f>
        <v/>
      </c>
      <c r="DB113" s="1" t="str">
        <f t="shared" si="33"/>
        <v>|</v>
      </c>
      <c r="DC113" s="1" t="str">
        <f>IFERROR(VLOOKUP(DB113,スクリプト_フロー!$A:$F,5,FALSE),"")</f>
        <v/>
      </c>
      <c r="DD113" s="1" t="str">
        <f t="shared" si="34"/>
        <v>|</v>
      </c>
      <c r="DE113" s="1" t="str">
        <f>IFERROR(VLOOKUP(DD113,スクリプト_フロー!$A:$F,5,FALSE),"")</f>
        <v/>
      </c>
      <c r="DF113" s="1" t="str">
        <f t="shared" si="35"/>
        <v>|</v>
      </c>
      <c r="DG113" s="1" t="str">
        <f>IFERROR(VLOOKUP(DF113,スクリプト_フロー!$A:$F,5,FALSE),"")</f>
        <v/>
      </c>
    </row>
    <row r="114" spans="1:111" ht="21">
      <c r="A114" s="1">
        <v>113</v>
      </c>
      <c r="B114" s="1" t="s">
        <v>315</v>
      </c>
      <c r="C114" s="1" t="s">
        <v>316</v>
      </c>
      <c r="D114" s="1" t="s">
        <v>62</v>
      </c>
      <c r="E114" s="6"/>
      <c r="F114" s="6"/>
      <c r="G114" s="6" t="s">
        <v>34</v>
      </c>
      <c r="H114" s="6"/>
      <c r="I114" s="4" t="str">
        <f>SUBSTITUTE(SUBSTITUTE(SUBSTITUTE(SUBSTITUTE(SUBSTITUTE(SUBSTITUTE(SUBSTITUTE(SUBSTITUTE(SUBSTITUTE(SUBSTITUTE(SUBSTITUTE(Q114,"{会社}",設定!$B$3),"{自分}",設定!$B$4),"{サービス}",設定!$B$5),"{料金}",設定!$B$7),"{日付1}",設定!$B$8),"{日付2}",設定!$B$9),"{時間1}",設定!$B$10),"{時間2}",設定!$B$11),"{時間}","（指定時間）"),"{日付確定}","（確定日）"),"{時間確定}","（確定時間）")</f>
        <v/>
      </c>
      <c r="J114" s="1" t="str">
        <f>IFERROR(VLOOKUP(P114,スクリプト_フロー!$A:$F,4,FALSE),"")</f>
        <v/>
      </c>
      <c r="K114" s="6" t="s">
        <v>35</v>
      </c>
      <c r="L114" s="6"/>
      <c r="M114" s="6"/>
      <c r="N114" s="6"/>
      <c r="O114" s="1"/>
      <c r="P114" s="1" t="str">
        <f t="shared" si="27"/>
        <v>①架電|</v>
      </c>
      <c r="Q114" s="1" t="str">
        <f>IFERROR(VLOOKUP(P114,スクリプト_フロー!$A:$F,5,FALSE),"")</f>
        <v/>
      </c>
      <c r="R114" s="6" t="str">
        <f t="shared" si="28"/>
        <v/>
      </c>
      <c r="S114" s="6"/>
      <c r="T114" s="4" t="str">
        <f>IF(DA114="","",SUBSTITUTE(SUBSTITUTE(SUBSTITUTE(SUBSTITUTE(SUBSTITUTE(SUBSTITUTE(SUBSTITUTE(SUBSTITUTE(SUBSTITUTE(SUBSTITUTE(SUBSTITUTE(DA114,"{会社}",設定!$B$3),"{自分}",設定!$B$4),"{サービス}",設定!$B$5),"{料金}",設定!$B$7),"{日付1}",設定!$B$8),"{日付2}",設定!$B$9),"{時間1}",設定!$B$10),"{時間2}",設定!$B$11),"{時間}","（指定時間）"),"{日付確定}","（確定日）"),"{時間確定}","（確定時間）"))</f>
        <v/>
      </c>
      <c r="U114" s="1" t="str">
        <f>IFERROR(VLOOKUP(CZ114,スクリプト_フロー!$A:$F,4,FALSE),"")</f>
        <v/>
      </c>
      <c r="V114" s="6" t="str">
        <f t="shared" si="29"/>
        <v/>
      </c>
      <c r="W114" s="6"/>
      <c r="X114" s="4" t="str">
        <f>IF(DC114="","",SUBSTITUTE(SUBSTITUTE(SUBSTITUTE(SUBSTITUTE(SUBSTITUTE(SUBSTITUTE(SUBSTITUTE(SUBSTITUTE(SUBSTITUTE(SUBSTITUTE(SUBSTITUTE(DC114,"{会社}",設定!$B$3),"{自分}",設定!$B$4),"{サービス}",設定!$B$5),"{料金}",設定!$B$7),"{日付1}",設定!$B$8),"{日付2}",設定!$B$9),"{時間1}",設定!$B$10),"{時間2}",設定!$B$11),"{時間}","（指定時間）"),"{日付確定}","（確定日）"),"{時間確定}","（確定時間）"))</f>
        <v/>
      </c>
      <c r="Y114" s="1" t="str">
        <f>IFERROR(VLOOKUP(DB114,スクリプト_フロー!$A:$F,4,FALSE),"")</f>
        <v/>
      </c>
      <c r="Z114" s="6" t="str">
        <f t="shared" si="30"/>
        <v/>
      </c>
      <c r="AA114" s="6"/>
      <c r="AB114" s="4" t="str">
        <f>IF(DE114="","",SUBSTITUTE(SUBSTITUTE(SUBSTITUTE(SUBSTITUTE(SUBSTITUTE(SUBSTITUTE(SUBSTITUTE(SUBSTITUTE(SUBSTITUTE(SUBSTITUTE(SUBSTITUTE(DE114,"{会社}",設定!$B$3),"{自分}",設定!$B$4),"{サービス}",設定!$B$5),"{料金}",設定!$B$7),"{日付1}",設定!$B$8),"{日付2}",設定!$B$9),"{時間1}",設定!$B$10),"{時間2}",設定!$B$11),"{時間}","（指定時間）"),"{日付確定}","（確定日）"),"{時間確定}","（確定時間）"))</f>
        <v/>
      </c>
      <c r="AC114" s="1" t="str">
        <f>IFERROR(VLOOKUP(DD114,スクリプト_フロー!$A:$F,4,FALSE),"")</f>
        <v/>
      </c>
      <c r="AD114" s="6" t="str">
        <f t="shared" si="31"/>
        <v/>
      </c>
      <c r="AE114" s="6"/>
      <c r="AF114" s="4" t="str">
        <f>IF(DG114="","",SUBSTITUTE(SUBSTITUTE(SUBSTITUTE(SUBSTITUTE(SUBSTITUTE(SUBSTITUTE(SUBSTITUTE(SUBSTITUTE(SUBSTITUTE(SUBSTITUTE(SUBSTITUTE(DG114,"{会社}",設定!$B$3),"{自分}",設定!$B$4),"{サービス}",設定!$B$5),"{料金}",設定!$B$7),"{日付1}",設定!$B$8),"{日付2}",設定!$B$9),"{時間1}",設定!$B$10),"{時間2}",設定!$B$11),"{時間}","（指定時間）"),"{日付確定}","（確定日）"),"{時間確定}","（確定時間）"))</f>
        <v/>
      </c>
      <c r="AG114" s="1" t="str">
        <f>IFERROR(VLOOKUP(DF114,スクリプト_フロー!$A:$F,4,FALSE),"")</f>
        <v/>
      </c>
      <c r="CZ114" s="1" t="str">
        <f t="shared" si="32"/>
        <v>|</v>
      </c>
      <c r="DA114" s="1" t="str">
        <f>IFERROR(VLOOKUP(CZ114,スクリプト_フロー!$A:$F,5,FALSE),"")</f>
        <v/>
      </c>
      <c r="DB114" s="1" t="str">
        <f t="shared" si="33"/>
        <v>|</v>
      </c>
      <c r="DC114" s="1" t="str">
        <f>IFERROR(VLOOKUP(DB114,スクリプト_フロー!$A:$F,5,FALSE),"")</f>
        <v/>
      </c>
      <c r="DD114" s="1" t="str">
        <f t="shared" si="34"/>
        <v>|</v>
      </c>
      <c r="DE114" s="1" t="str">
        <f>IFERROR(VLOOKUP(DD114,スクリプト_フロー!$A:$F,5,FALSE),"")</f>
        <v/>
      </c>
      <c r="DF114" s="1" t="str">
        <f t="shared" si="35"/>
        <v>|</v>
      </c>
      <c r="DG114" s="1" t="str">
        <f>IFERROR(VLOOKUP(DF114,スクリプト_フロー!$A:$F,5,FALSE),"")</f>
        <v/>
      </c>
    </row>
    <row r="115" spans="1:111" ht="21">
      <c r="A115" s="1">
        <v>114</v>
      </c>
      <c r="B115" s="1" t="s">
        <v>317</v>
      </c>
      <c r="C115" s="1" t="s">
        <v>318</v>
      </c>
      <c r="D115" s="1" t="s">
        <v>62</v>
      </c>
      <c r="E115" s="6"/>
      <c r="F115" s="6"/>
      <c r="G115" s="6" t="s">
        <v>34</v>
      </c>
      <c r="H115" s="6"/>
      <c r="I115" s="4" t="str">
        <f>SUBSTITUTE(SUBSTITUTE(SUBSTITUTE(SUBSTITUTE(SUBSTITUTE(SUBSTITUTE(SUBSTITUTE(SUBSTITUTE(SUBSTITUTE(SUBSTITUTE(SUBSTITUTE(Q115,"{会社}",設定!$B$3),"{自分}",設定!$B$4),"{サービス}",設定!$B$5),"{料金}",設定!$B$7),"{日付1}",設定!$B$8),"{日付2}",設定!$B$9),"{時間1}",設定!$B$10),"{時間2}",設定!$B$11),"{時間}","（指定時間）"),"{日付確定}","（確定日）"),"{時間確定}","（確定時間）")</f>
        <v/>
      </c>
      <c r="J115" s="1" t="str">
        <f>IFERROR(VLOOKUP(P115,スクリプト_フロー!$A:$F,4,FALSE),"")</f>
        <v/>
      </c>
      <c r="K115" s="6" t="s">
        <v>35</v>
      </c>
      <c r="L115" s="6"/>
      <c r="M115" s="6"/>
      <c r="N115" s="6"/>
      <c r="O115" s="1"/>
      <c r="P115" s="1" t="str">
        <f t="shared" si="27"/>
        <v>①架電|</v>
      </c>
      <c r="Q115" s="1" t="str">
        <f>IFERROR(VLOOKUP(P115,スクリプト_フロー!$A:$F,5,FALSE),"")</f>
        <v/>
      </c>
      <c r="R115" s="6" t="str">
        <f t="shared" si="28"/>
        <v/>
      </c>
      <c r="S115" s="6"/>
      <c r="T115" s="4" t="str">
        <f>IF(DA115="","",SUBSTITUTE(SUBSTITUTE(SUBSTITUTE(SUBSTITUTE(SUBSTITUTE(SUBSTITUTE(SUBSTITUTE(SUBSTITUTE(SUBSTITUTE(SUBSTITUTE(SUBSTITUTE(DA115,"{会社}",設定!$B$3),"{自分}",設定!$B$4),"{サービス}",設定!$B$5),"{料金}",設定!$B$7),"{日付1}",設定!$B$8),"{日付2}",設定!$B$9),"{時間1}",設定!$B$10),"{時間2}",設定!$B$11),"{時間}","（指定時間）"),"{日付確定}","（確定日）"),"{時間確定}","（確定時間）"))</f>
        <v/>
      </c>
      <c r="U115" s="1" t="str">
        <f>IFERROR(VLOOKUP(CZ115,スクリプト_フロー!$A:$F,4,FALSE),"")</f>
        <v/>
      </c>
      <c r="V115" s="6" t="str">
        <f t="shared" si="29"/>
        <v/>
      </c>
      <c r="W115" s="6"/>
      <c r="X115" s="4" t="str">
        <f>IF(DC115="","",SUBSTITUTE(SUBSTITUTE(SUBSTITUTE(SUBSTITUTE(SUBSTITUTE(SUBSTITUTE(SUBSTITUTE(SUBSTITUTE(SUBSTITUTE(SUBSTITUTE(SUBSTITUTE(DC115,"{会社}",設定!$B$3),"{自分}",設定!$B$4),"{サービス}",設定!$B$5),"{料金}",設定!$B$7),"{日付1}",設定!$B$8),"{日付2}",設定!$B$9),"{時間1}",設定!$B$10),"{時間2}",設定!$B$11),"{時間}","（指定時間）"),"{日付確定}","（確定日）"),"{時間確定}","（確定時間）"))</f>
        <v/>
      </c>
      <c r="Y115" s="1" t="str">
        <f>IFERROR(VLOOKUP(DB115,スクリプト_フロー!$A:$F,4,FALSE),"")</f>
        <v/>
      </c>
      <c r="Z115" s="6" t="str">
        <f t="shared" si="30"/>
        <v/>
      </c>
      <c r="AA115" s="6"/>
      <c r="AB115" s="4" t="str">
        <f>IF(DE115="","",SUBSTITUTE(SUBSTITUTE(SUBSTITUTE(SUBSTITUTE(SUBSTITUTE(SUBSTITUTE(SUBSTITUTE(SUBSTITUTE(SUBSTITUTE(SUBSTITUTE(SUBSTITUTE(DE115,"{会社}",設定!$B$3),"{自分}",設定!$B$4),"{サービス}",設定!$B$5),"{料金}",設定!$B$7),"{日付1}",設定!$B$8),"{日付2}",設定!$B$9),"{時間1}",設定!$B$10),"{時間2}",設定!$B$11),"{時間}","（指定時間）"),"{日付確定}","（確定日）"),"{時間確定}","（確定時間）"))</f>
        <v/>
      </c>
      <c r="AC115" s="1" t="str">
        <f>IFERROR(VLOOKUP(DD115,スクリプト_フロー!$A:$F,4,FALSE),"")</f>
        <v/>
      </c>
      <c r="AD115" s="6" t="str">
        <f t="shared" si="31"/>
        <v/>
      </c>
      <c r="AE115" s="6"/>
      <c r="AF115" s="4" t="str">
        <f>IF(DG115="","",SUBSTITUTE(SUBSTITUTE(SUBSTITUTE(SUBSTITUTE(SUBSTITUTE(SUBSTITUTE(SUBSTITUTE(SUBSTITUTE(SUBSTITUTE(SUBSTITUTE(SUBSTITUTE(DG115,"{会社}",設定!$B$3),"{自分}",設定!$B$4),"{サービス}",設定!$B$5),"{料金}",設定!$B$7),"{日付1}",設定!$B$8),"{日付2}",設定!$B$9),"{時間1}",設定!$B$10),"{時間2}",設定!$B$11),"{時間}","（指定時間）"),"{日付確定}","（確定日）"),"{時間確定}","（確定時間）"))</f>
        <v/>
      </c>
      <c r="AG115" s="1" t="str">
        <f>IFERROR(VLOOKUP(DF115,スクリプト_フロー!$A:$F,4,FALSE),"")</f>
        <v/>
      </c>
      <c r="CZ115" s="1" t="str">
        <f t="shared" si="32"/>
        <v>|</v>
      </c>
      <c r="DA115" s="1" t="str">
        <f>IFERROR(VLOOKUP(CZ115,スクリプト_フロー!$A:$F,5,FALSE),"")</f>
        <v/>
      </c>
      <c r="DB115" s="1" t="str">
        <f t="shared" si="33"/>
        <v>|</v>
      </c>
      <c r="DC115" s="1" t="str">
        <f>IFERROR(VLOOKUP(DB115,スクリプト_フロー!$A:$F,5,FALSE),"")</f>
        <v/>
      </c>
      <c r="DD115" s="1" t="str">
        <f t="shared" si="34"/>
        <v>|</v>
      </c>
      <c r="DE115" s="1" t="str">
        <f>IFERROR(VLOOKUP(DD115,スクリプト_フロー!$A:$F,5,FALSE),"")</f>
        <v/>
      </c>
      <c r="DF115" s="1" t="str">
        <f t="shared" si="35"/>
        <v>|</v>
      </c>
      <c r="DG115" s="1" t="str">
        <f>IFERROR(VLOOKUP(DF115,スクリプト_フロー!$A:$F,5,FALSE),"")</f>
        <v/>
      </c>
    </row>
    <row r="116" spans="1:111" ht="21">
      <c r="A116" s="1">
        <v>115</v>
      </c>
      <c r="B116" s="1" t="s">
        <v>319</v>
      </c>
      <c r="C116" s="1" t="s">
        <v>320</v>
      </c>
      <c r="D116" s="1" t="s">
        <v>62</v>
      </c>
      <c r="E116" s="6"/>
      <c r="F116" s="6"/>
      <c r="G116" s="6" t="s">
        <v>34</v>
      </c>
      <c r="H116" s="6"/>
      <c r="I116" s="4" t="str">
        <f>SUBSTITUTE(SUBSTITUTE(SUBSTITUTE(SUBSTITUTE(SUBSTITUTE(SUBSTITUTE(SUBSTITUTE(SUBSTITUTE(SUBSTITUTE(SUBSTITUTE(SUBSTITUTE(Q116,"{会社}",設定!$B$3),"{自分}",設定!$B$4),"{サービス}",設定!$B$5),"{料金}",設定!$B$7),"{日付1}",設定!$B$8),"{日付2}",設定!$B$9),"{時間1}",設定!$B$10),"{時間2}",設定!$B$11),"{時間}","（指定時間）"),"{日付確定}","（確定日）"),"{時間確定}","（確定時間）")</f>
        <v/>
      </c>
      <c r="J116" s="1" t="str">
        <f>IFERROR(VLOOKUP(P116,スクリプト_フロー!$A:$F,4,FALSE),"")</f>
        <v/>
      </c>
      <c r="K116" s="6" t="s">
        <v>35</v>
      </c>
      <c r="L116" s="6"/>
      <c r="M116" s="6"/>
      <c r="N116" s="6"/>
      <c r="O116" s="1"/>
      <c r="P116" s="1" t="str">
        <f t="shared" si="27"/>
        <v>①架電|</v>
      </c>
      <c r="Q116" s="1" t="str">
        <f>IFERROR(VLOOKUP(P116,スクリプト_フロー!$A:$F,5,FALSE),"")</f>
        <v/>
      </c>
      <c r="R116" s="6" t="str">
        <f t="shared" si="28"/>
        <v/>
      </c>
      <c r="S116" s="6"/>
      <c r="T116" s="4" t="str">
        <f>IF(DA116="","",SUBSTITUTE(SUBSTITUTE(SUBSTITUTE(SUBSTITUTE(SUBSTITUTE(SUBSTITUTE(SUBSTITUTE(SUBSTITUTE(SUBSTITUTE(SUBSTITUTE(SUBSTITUTE(DA116,"{会社}",設定!$B$3),"{自分}",設定!$B$4),"{サービス}",設定!$B$5),"{料金}",設定!$B$7),"{日付1}",設定!$B$8),"{日付2}",設定!$B$9),"{時間1}",設定!$B$10),"{時間2}",設定!$B$11),"{時間}","（指定時間）"),"{日付確定}","（確定日）"),"{時間確定}","（確定時間）"))</f>
        <v/>
      </c>
      <c r="U116" s="1" t="str">
        <f>IFERROR(VLOOKUP(CZ116,スクリプト_フロー!$A:$F,4,FALSE),"")</f>
        <v/>
      </c>
      <c r="V116" s="6" t="str">
        <f t="shared" si="29"/>
        <v/>
      </c>
      <c r="W116" s="6"/>
      <c r="X116" s="4" t="str">
        <f>IF(DC116="","",SUBSTITUTE(SUBSTITUTE(SUBSTITUTE(SUBSTITUTE(SUBSTITUTE(SUBSTITUTE(SUBSTITUTE(SUBSTITUTE(SUBSTITUTE(SUBSTITUTE(SUBSTITUTE(DC116,"{会社}",設定!$B$3),"{自分}",設定!$B$4),"{サービス}",設定!$B$5),"{料金}",設定!$B$7),"{日付1}",設定!$B$8),"{日付2}",設定!$B$9),"{時間1}",設定!$B$10),"{時間2}",設定!$B$11),"{時間}","（指定時間）"),"{日付確定}","（確定日）"),"{時間確定}","（確定時間）"))</f>
        <v/>
      </c>
      <c r="Y116" s="1" t="str">
        <f>IFERROR(VLOOKUP(DB116,スクリプト_フロー!$A:$F,4,FALSE),"")</f>
        <v/>
      </c>
      <c r="Z116" s="6" t="str">
        <f t="shared" si="30"/>
        <v/>
      </c>
      <c r="AA116" s="6"/>
      <c r="AB116" s="4" t="str">
        <f>IF(DE116="","",SUBSTITUTE(SUBSTITUTE(SUBSTITUTE(SUBSTITUTE(SUBSTITUTE(SUBSTITUTE(SUBSTITUTE(SUBSTITUTE(SUBSTITUTE(SUBSTITUTE(SUBSTITUTE(DE116,"{会社}",設定!$B$3),"{自分}",設定!$B$4),"{サービス}",設定!$B$5),"{料金}",設定!$B$7),"{日付1}",設定!$B$8),"{日付2}",設定!$B$9),"{時間1}",設定!$B$10),"{時間2}",設定!$B$11),"{時間}","（指定時間）"),"{日付確定}","（確定日）"),"{時間確定}","（確定時間）"))</f>
        <v/>
      </c>
      <c r="AC116" s="1" t="str">
        <f>IFERROR(VLOOKUP(DD116,スクリプト_フロー!$A:$F,4,FALSE),"")</f>
        <v/>
      </c>
      <c r="AD116" s="6" t="str">
        <f t="shared" si="31"/>
        <v/>
      </c>
      <c r="AE116" s="6"/>
      <c r="AF116" s="4" t="str">
        <f>IF(DG116="","",SUBSTITUTE(SUBSTITUTE(SUBSTITUTE(SUBSTITUTE(SUBSTITUTE(SUBSTITUTE(SUBSTITUTE(SUBSTITUTE(SUBSTITUTE(SUBSTITUTE(SUBSTITUTE(DG116,"{会社}",設定!$B$3),"{自分}",設定!$B$4),"{サービス}",設定!$B$5),"{料金}",設定!$B$7),"{日付1}",設定!$B$8),"{日付2}",設定!$B$9),"{時間1}",設定!$B$10),"{時間2}",設定!$B$11),"{時間}","（指定時間）"),"{日付確定}","（確定日）"),"{時間確定}","（確定時間）"))</f>
        <v/>
      </c>
      <c r="AG116" s="1" t="str">
        <f>IFERROR(VLOOKUP(DF116,スクリプト_フロー!$A:$F,4,FALSE),"")</f>
        <v/>
      </c>
      <c r="CZ116" s="1" t="str">
        <f t="shared" si="32"/>
        <v>|</v>
      </c>
      <c r="DA116" s="1" t="str">
        <f>IFERROR(VLOOKUP(CZ116,スクリプト_フロー!$A:$F,5,FALSE),"")</f>
        <v/>
      </c>
      <c r="DB116" s="1" t="str">
        <f t="shared" si="33"/>
        <v>|</v>
      </c>
      <c r="DC116" s="1" t="str">
        <f>IFERROR(VLOOKUP(DB116,スクリプト_フロー!$A:$F,5,FALSE),"")</f>
        <v/>
      </c>
      <c r="DD116" s="1" t="str">
        <f t="shared" si="34"/>
        <v>|</v>
      </c>
      <c r="DE116" s="1" t="str">
        <f>IFERROR(VLOOKUP(DD116,スクリプト_フロー!$A:$F,5,FALSE),"")</f>
        <v/>
      </c>
      <c r="DF116" s="1" t="str">
        <f t="shared" si="35"/>
        <v>|</v>
      </c>
      <c r="DG116" s="1" t="str">
        <f>IFERROR(VLOOKUP(DF116,スクリプト_フロー!$A:$F,5,FALSE),"")</f>
        <v/>
      </c>
    </row>
    <row r="117" spans="1:111" ht="21">
      <c r="A117" s="1">
        <v>116</v>
      </c>
      <c r="B117" s="1" t="s">
        <v>321</v>
      </c>
      <c r="C117" s="1" t="s">
        <v>322</v>
      </c>
      <c r="D117" s="1" t="s">
        <v>62</v>
      </c>
      <c r="E117" s="6"/>
      <c r="F117" s="6"/>
      <c r="G117" s="6" t="s">
        <v>34</v>
      </c>
      <c r="H117" s="6"/>
      <c r="I117" s="4" t="str">
        <f>SUBSTITUTE(SUBSTITUTE(SUBSTITUTE(SUBSTITUTE(SUBSTITUTE(SUBSTITUTE(SUBSTITUTE(SUBSTITUTE(SUBSTITUTE(SUBSTITUTE(SUBSTITUTE(Q117,"{会社}",設定!$B$3),"{自分}",設定!$B$4),"{サービス}",設定!$B$5),"{料金}",設定!$B$7),"{日付1}",設定!$B$8),"{日付2}",設定!$B$9),"{時間1}",設定!$B$10),"{時間2}",設定!$B$11),"{時間}","（指定時間）"),"{日付確定}","（確定日）"),"{時間確定}","（確定時間）")</f>
        <v/>
      </c>
      <c r="J117" s="1" t="str">
        <f>IFERROR(VLOOKUP(P117,スクリプト_フロー!$A:$F,4,FALSE),"")</f>
        <v/>
      </c>
      <c r="K117" s="6" t="s">
        <v>35</v>
      </c>
      <c r="L117" s="6"/>
      <c r="M117" s="6"/>
      <c r="N117" s="6"/>
      <c r="O117" s="1"/>
      <c r="P117" s="1" t="str">
        <f t="shared" si="27"/>
        <v>①架電|</v>
      </c>
      <c r="Q117" s="1" t="str">
        <f>IFERROR(VLOOKUP(P117,スクリプト_フロー!$A:$F,5,FALSE),"")</f>
        <v/>
      </c>
      <c r="R117" s="6" t="str">
        <f t="shared" si="28"/>
        <v/>
      </c>
      <c r="S117" s="6"/>
      <c r="T117" s="4" t="str">
        <f>IF(DA117="","",SUBSTITUTE(SUBSTITUTE(SUBSTITUTE(SUBSTITUTE(SUBSTITUTE(SUBSTITUTE(SUBSTITUTE(SUBSTITUTE(SUBSTITUTE(SUBSTITUTE(SUBSTITUTE(DA117,"{会社}",設定!$B$3),"{自分}",設定!$B$4),"{サービス}",設定!$B$5),"{料金}",設定!$B$7),"{日付1}",設定!$B$8),"{日付2}",設定!$B$9),"{時間1}",設定!$B$10),"{時間2}",設定!$B$11),"{時間}","（指定時間）"),"{日付確定}","（確定日）"),"{時間確定}","（確定時間）"))</f>
        <v/>
      </c>
      <c r="U117" s="1" t="str">
        <f>IFERROR(VLOOKUP(CZ117,スクリプト_フロー!$A:$F,4,FALSE),"")</f>
        <v/>
      </c>
      <c r="V117" s="6" t="str">
        <f t="shared" si="29"/>
        <v/>
      </c>
      <c r="W117" s="6"/>
      <c r="X117" s="4" t="str">
        <f>IF(DC117="","",SUBSTITUTE(SUBSTITUTE(SUBSTITUTE(SUBSTITUTE(SUBSTITUTE(SUBSTITUTE(SUBSTITUTE(SUBSTITUTE(SUBSTITUTE(SUBSTITUTE(SUBSTITUTE(DC117,"{会社}",設定!$B$3),"{自分}",設定!$B$4),"{サービス}",設定!$B$5),"{料金}",設定!$B$7),"{日付1}",設定!$B$8),"{日付2}",設定!$B$9),"{時間1}",設定!$B$10),"{時間2}",設定!$B$11),"{時間}","（指定時間）"),"{日付確定}","（確定日）"),"{時間確定}","（確定時間）"))</f>
        <v/>
      </c>
      <c r="Y117" s="1" t="str">
        <f>IFERROR(VLOOKUP(DB117,スクリプト_フロー!$A:$F,4,FALSE),"")</f>
        <v/>
      </c>
      <c r="Z117" s="6" t="str">
        <f t="shared" si="30"/>
        <v/>
      </c>
      <c r="AA117" s="6"/>
      <c r="AB117" s="4" t="str">
        <f>IF(DE117="","",SUBSTITUTE(SUBSTITUTE(SUBSTITUTE(SUBSTITUTE(SUBSTITUTE(SUBSTITUTE(SUBSTITUTE(SUBSTITUTE(SUBSTITUTE(SUBSTITUTE(SUBSTITUTE(DE117,"{会社}",設定!$B$3),"{自分}",設定!$B$4),"{サービス}",設定!$B$5),"{料金}",設定!$B$7),"{日付1}",設定!$B$8),"{日付2}",設定!$B$9),"{時間1}",設定!$B$10),"{時間2}",設定!$B$11),"{時間}","（指定時間）"),"{日付確定}","（確定日）"),"{時間確定}","（確定時間）"))</f>
        <v/>
      </c>
      <c r="AC117" s="1" t="str">
        <f>IFERROR(VLOOKUP(DD117,スクリプト_フロー!$A:$F,4,FALSE),"")</f>
        <v/>
      </c>
      <c r="AD117" s="6" t="str">
        <f t="shared" si="31"/>
        <v/>
      </c>
      <c r="AE117" s="6"/>
      <c r="AF117" s="4" t="str">
        <f>IF(DG117="","",SUBSTITUTE(SUBSTITUTE(SUBSTITUTE(SUBSTITUTE(SUBSTITUTE(SUBSTITUTE(SUBSTITUTE(SUBSTITUTE(SUBSTITUTE(SUBSTITUTE(SUBSTITUTE(DG117,"{会社}",設定!$B$3),"{自分}",設定!$B$4),"{サービス}",設定!$B$5),"{料金}",設定!$B$7),"{日付1}",設定!$B$8),"{日付2}",設定!$B$9),"{時間1}",設定!$B$10),"{時間2}",設定!$B$11),"{時間}","（指定時間）"),"{日付確定}","（確定日）"),"{時間確定}","（確定時間）"))</f>
        <v/>
      </c>
      <c r="AG117" s="1" t="str">
        <f>IFERROR(VLOOKUP(DF117,スクリプト_フロー!$A:$F,4,FALSE),"")</f>
        <v/>
      </c>
      <c r="CZ117" s="1" t="str">
        <f t="shared" si="32"/>
        <v>|</v>
      </c>
      <c r="DA117" s="1" t="str">
        <f>IFERROR(VLOOKUP(CZ117,スクリプト_フロー!$A:$F,5,FALSE),"")</f>
        <v/>
      </c>
      <c r="DB117" s="1" t="str">
        <f t="shared" si="33"/>
        <v>|</v>
      </c>
      <c r="DC117" s="1" t="str">
        <f>IFERROR(VLOOKUP(DB117,スクリプト_フロー!$A:$F,5,FALSE),"")</f>
        <v/>
      </c>
      <c r="DD117" s="1" t="str">
        <f t="shared" si="34"/>
        <v>|</v>
      </c>
      <c r="DE117" s="1" t="str">
        <f>IFERROR(VLOOKUP(DD117,スクリプト_フロー!$A:$F,5,FALSE),"")</f>
        <v/>
      </c>
      <c r="DF117" s="1" t="str">
        <f t="shared" si="35"/>
        <v>|</v>
      </c>
      <c r="DG117" s="1" t="str">
        <f>IFERROR(VLOOKUP(DF117,スクリプト_フロー!$A:$F,5,FALSE),"")</f>
        <v/>
      </c>
    </row>
    <row r="118" spans="1:111" ht="21">
      <c r="A118" s="1">
        <v>117</v>
      </c>
      <c r="B118" s="1" t="s">
        <v>323</v>
      </c>
      <c r="C118" s="1" t="s">
        <v>324</v>
      </c>
      <c r="D118" s="1" t="s">
        <v>62</v>
      </c>
      <c r="E118" s="6"/>
      <c r="F118" s="6"/>
      <c r="G118" s="6" t="s">
        <v>34</v>
      </c>
      <c r="H118" s="6"/>
      <c r="I118" s="4" t="str">
        <f>SUBSTITUTE(SUBSTITUTE(SUBSTITUTE(SUBSTITUTE(SUBSTITUTE(SUBSTITUTE(SUBSTITUTE(SUBSTITUTE(SUBSTITUTE(SUBSTITUTE(SUBSTITUTE(Q118,"{会社}",設定!$B$3),"{自分}",設定!$B$4),"{サービス}",設定!$B$5),"{料金}",設定!$B$7),"{日付1}",設定!$B$8),"{日付2}",設定!$B$9),"{時間1}",設定!$B$10),"{時間2}",設定!$B$11),"{時間}","（指定時間）"),"{日付確定}","（確定日）"),"{時間確定}","（確定時間）")</f>
        <v/>
      </c>
      <c r="J118" s="1" t="str">
        <f>IFERROR(VLOOKUP(P118,スクリプト_フロー!$A:$F,4,FALSE),"")</f>
        <v/>
      </c>
      <c r="K118" s="6" t="s">
        <v>35</v>
      </c>
      <c r="L118" s="6"/>
      <c r="M118" s="6"/>
      <c r="N118" s="6"/>
      <c r="O118" s="1"/>
      <c r="P118" s="1" t="str">
        <f t="shared" si="27"/>
        <v>①架電|</v>
      </c>
      <c r="Q118" s="1" t="str">
        <f>IFERROR(VLOOKUP(P118,スクリプト_フロー!$A:$F,5,FALSE),"")</f>
        <v/>
      </c>
      <c r="R118" s="6" t="str">
        <f t="shared" si="28"/>
        <v/>
      </c>
      <c r="S118" s="6"/>
      <c r="T118" s="4" t="str">
        <f>IF(DA118="","",SUBSTITUTE(SUBSTITUTE(SUBSTITUTE(SUBSTITUTE(SUBSTITUTE(SUBSTITUTE(SUBSTITUTE(SUBSTITUTE(SUBSTITUTE(SUBSTITUTE(SUBSTITUTE(DA118,"{会社}",設定!$B$3),"{自分}",設定!$B$4),"{サービス}",設定!$B$5),"{料金}",設定!$B$7),"{日付1}",設定!$B$8),"{日付2}",設定!$B$9),"{時間1}",設定!$B$10),"{時間2}",設定!$B$11),"{時間}","（指定時間）"),"{日付確定}","（確定日）"),"{時間確定}","（確定時間）"))</f>
        <v/>
      </c>
      <c r="U118" s="1" t="str">
        <f>IFERROR(VLOOKUP(CZ118,スクリプト_フロー!$A:$F,4,FALSE),"")</f>
        <v/>
      </c>
      <c r="V118" s="6" t="str">
        <f t="shared" si="29"/>
        <v/>
      </c>
      <c r="W118" s="6"/>
      <c r="X118" s="4" t="str">
        <f>IF(DC118="","",SUBSTITUTE(SUBSTITUTE(SUBSTITUTE(SUBSTITUTE(SUBSTITUTE(SUBSTITUTE(SUBSTITUTE(SUBSTITUTE(SUBSTITUTE(SUBSTITUTE(SUBSTITUTE(DC118,"{会社}",設定!$B$3),"{自分}",設定!$B$4),"{サービス}",設定!$B$5),"{料金}",設定!$B$7),"{日付1}",設定!$B$8),"{日付2}",設定!$B$9),"{時間1}",設定!$B$10),"{時間2}",設定!$B$11),"{時間}","（指定時間）"),"{日付確定}","（確定日）"),"{時間確定}","（確定時間）"))</f>
        <v/>
      </c>
      <c r="Y118" s="1" t="str">
        <f>IFERROR(VLOOKUP(DB118,スクリプト_フロー!$A:$F,4,FALSE),"")</f>
        <v/>
      </c>
      <c r="Z118" s="6" t="str">
        <f t="shared" si="30"/>
        <v/>
      </c>
      <c r="AA118" s="6"/>
      <c r="AB118" s="4" t="str">
        <f>IF(DE118="","",SUBSTITUTE(SUBSTITUTE(SUBSTITUTE(SUBSTITUTE(SUBSTITUTE(SUBSTITUTE(SUBSTITUTE(SUBSTITUTE(SUBSTITUTE(SUBSTITUTE(SUBSTITUTE(DE118,"{会社}",設定!$B$3),"{自分}",設定!$B$4),"{サービス}",設定!$B$5),"{料金}",設定!$B$7),"{日付1}",設定!$B$8),"{日付2}",設定!$B$9),"{時間1}",設定!$B$10),"{時間2}",設定!$B$11),"{時間}","（指定時間）"),"{日付確定}","（確定日）"),"{時間確定}","（確定時間）"))</f>
        <v/>
      </c>
      <c r="AC118" s="1" t="str">
        <f>IFERROR(VLOOKUP(DD118,スクリプト_フロー!$A:$F,4,FALSE),"")</f>
        <v/>
      </c>
      <c r="AD118" s="6" t="str">
        <f t="shared" si="31"/>
        <v/>
      </c>
      <c r="AE118" s="6"/>
      <c r="AF118" s="4" t="str">
        <f>IF(DG118="","",SUBSTITUTE(SUBSTITUTE(SUBSTITUTE(SUBSTITUTE(SUBSTITUTE(SUBSTITUTE(SUBSTITUTE(SUBSTITUTE(SUBSTITUTE(SUBSTITUTE(SUBSTITUTE(DG118,"{会社}",設定!$B$3),"{自分}",設定!$B$4),"{サービス}",設定!$B$5),"{料金}",設定!$B$7),"{日付1}",設定!$B$8),"{日付2}",設定!$B$9),"{時間1}",設定!$B$10),"{時間2}",設定!$B$11),"{時間}","（指定時間）"),"{日付確定}","（確定日）"),"{時間確定}","（確定時間）"))</f>
        <v/>
      </c>
      <c r="AG118" s="1" t="str">
        <f>IFERROR(VLOOKUP(DF118,スクリプト_フロー!$A:$F,4,FALSE),"")</f>
        <v/>
      </c>
      <c r="CZ118" s="1" t="str">
        <f t="shared" si="32"/>
        <v>|</v>
      </c>
      <c r="DA118" s="1" t="str">
        <f>IFERROR(VLOOKUP(CZ118,スクリプト_フロー!$A:$F,5,FALSE),"")</f>
        <v/>
      </c>
      <c r="DB118" s="1" t="str">
        <f t="shared" si="33"/>
        <v>|</v>
      </c>
      <c r="DC118" s="1" t="str">
        <f>IFERROR(VLOOKUP(DB118,スクリプト_フロー!$A:$F,5,FALSE),"")</f>
        <v/>
      </c>
      <c r="DD118" s="1" t="str">
        <f t="shared" si="34"/>
        <v>|</v>
      </c>
      <c r="DE118" s="1" t="str">
        <f>IFERROR(VLOOKUP(DD118,スクリプト_フロー!$A:$F,5,FALSE),"")</f>
        <v/>
      </c>
      <c r="DF118" s="1" t="str">
        <f t="shared" si="35"/>
        <v>|</v>
      </c>
      <c r="DG118" s="1" t="str">
        <f>IFERROR(VLOOKUP(DF118,スクリプト_フロー!$A:$F,5,FALSE),"")</f>
        <v/>
      </c>
    </row>
    <row r="119" spans="1:111" ht="21">
      <c r="A119" s="1">
        <v>118</v>
      </c>
      <c r="B119" s="1" t="s">
        <v>325</v>
      </c>
      <c r="C119" s="1" t="s">
        <v>326</v>
      </c>
      <c r="D119" s="1" t="s">
        <v>62</v>
      </c>
      <c r="E119" s="6"/>
      <c r="F119" s="6"/>
      <c r="G119" s="6" t="s">
        <v>34</v>
      </c>
      <c r="H119" s="6"/>
      <c r="I119" s="4" t="str">
        <f>SUBSTITUTE(SUBSTITUTE(SUBSTITUTE(SUBSTITUTE(SUBSTITUTE(SUBSTITUTE(SUBSTITUTE(SUBSTITUTE(SUBSTITUTE(SUBSTITUTE(SUBSTITUTE(Q119,"{会社}",設定!$B$3),"{自分}",設定!$B$4),"{サービス}",設定!$B$5),"{料金}",設定!$B$7),"{日付1}",設定!$B$8),"{日付2}",設定!$B$9),"{時間1}",設定!$B$10),"{時間2}",設定!$B$11),"{時間}","（指定時間）"),"{日付確定}","（確定日）"),"{時間確定}","（確定時間）")</f>
        <v/>
      </c>
      <c r="J119" s="1" t="str">
        <f>IFERROR(VLOOKUP(P119,スクリプト_フロー!$A:$F,4,FALSE),"")</f>
        <v/>
      </c>
      <c r="K119" s="6" t="s">
        <v>35</v>
      </c>
      <c r="L119" s="6"/>
      <c r="M119" s="6"/>
      <c r="N119" s="6"/>
      <c r="O119" s="1"/>
      <c r="P119" s="1" t="str">
        <f t="shared" si="27"/>
        <v>①架電|</v>
      </c>
      <c r="Q119" s="1" t="str">
        <f>IFERROR(VLOOKUP(P119,スクリプト_フロー!$A:$F,5,FALSE),"")</f>
        <v/>
      </c>
      <c r="R119" s="6" t="str">
        <f t="shared" si="28"/>
        <v/>
      </c>
      <c r="S119" s="6"/>
      <c r="T119" s="4" t="str">
        <f>IF(DA119="","",SUBSTITUTE(SUBSTITUTE(SUBSTITUTE(SUBSTITUTE(SUBSTITUTE(SUBSTITUTE(SUBSTITUTE(SUBSTITUTE(SUBSTITUTE(SUBSTITUTE(SUBSTITUTE(DA119,"{会社}",設定!$B$3),"{自分}",設定!$B$4),"{サービス}",設定!$B$5),"{料金}",設定!$B$7),"{日付1}",設定!$B$8),"{日付2}",設定!$B$9),"{時間1}",設定!$B$10),"{時間2}",設定!$B$11),"{時間}","（指定時間）"),"{日付確定}","（確定日）"),"{時間確定}","（確定時間）"))</f>
        <v/>
      </c>
      <c r="U119" s="1" t="str">
        <f>IFERROR(VLOOKUP(CZ119,スクリプト_フロー!$A:$F,4,FALSE),"")</f>
        <v/>
      </c>
      <c r="V119" s="6" t="str">
        <f t="shared" si="29"/>
        <v/>
      </c>
      <c r="W119" s="6"/>
      <c r="X119" s="4" t="str">
        <f>IF(DC119="","",SUBSTITUTE(SUBSTITUTE(SUBSTITUTE(SUBSTITUTE(SUBSTITUTE(SUBSTITUTE(SUBSTITUTE(SUBSTITUTE(SUBSTITUTE(SUBSTITUTE(SUBSTITUTE(DC119,"{会社}",設定!$B$3),"{自分}",設定!$B$4),"{サービス}",設定!$B$5),"{料金}",設定!$B$7),"{日付1}",設定!$B$8),"{日付2}",設定!$B$9),"{時間1}",設定!$B$10),"{時間2}",設定!$B$11),"{時間}","（指定時間）"),"{日付確定}","（確定日）"),"{時間確定}","（確定時間）"))</f>
        <v/>
      </c>
      <c r="Y119" s="1" t="str">
        <f>IFERROR(VLOOKUP(DB119,スクリプト_フロー!$A:$F,4,FALSE),"")</f>
        <v/>
      </c>
      <c r="Z119" s="6" t="str">
        <f t="shared" si="30"/>
        <v/>
      </c>
      <c r="AA119" s="6"/>
      <c r="AB119" s="4" t="str">
        <f>IF(DE119="","",SUBSTITUTE(SUBSTITUTE(SUBSTITUTE(SUBSTITUTE(SUBSTITUTE(SUBSTITUTE(SUBSTITUTE(SUBSTITUTE(SUBSTITUTE(SUBSTITUTE(SUBSTITUTE(DE119,"{会社}",設定!$B$3),"{自分}",設定!$B$4),"{サービス}",設定!$B$5),"{料金}",設定!$B$7),"{日付1}",設定!$B$8),"{日付2}",設定!$B$9),"{時間1}",設定!$B$10),"{時間2}",設定!$B$11),"{時間}","（指定時間）"),"{日付確定}","（確定日）"),"{時間確定}","（確定時間）"))</f>
        <v/>
      </c>
      <c r="AC119" s="1" t="str">
        <f>IFERROR(VLOOKUP(DD119,スクリプト_フロー!$A:$F,4,FALSE),"")</f>
        <v/>
      </c>
      <c r="AD119" s="6" t="str">
        <f t="shared" si="31"/>
        <v/>
      </c>
      <c r="AE119" s="6"/>
      <c r="AF119" s="4" t="str">
        <f>IF(DG119="","",SUBSTITUTE(SUBSTITUTE(SUBSTITUTE(SUBSTITUTE(SUBSTITUTE(SUBSTITUTE(SUBSTITUTE(SUBSTITUTE(SUBSTITUTE(SUBSTITUTE(SUBSTITUTE(DG119,"{会社}",設定!$B$3),"{自分}",設定!$B$4),"{サービス}",設定!$B$5),"{料金}",設定!$B$7),"{日付1}",設定!$B$8),"{日付2}",設定!$B$9),"{時間1}",設定!$B$10),"{時間2}",設定!$B$11),"{時間}","（指定時間）"),"{日付確定}","（確定日）"),"{時間確定}","（確定時間）"))</f>
        <v/>
      </c>
      <c r="AG119" s="1" t="str">
        <f>IFERROR(VLOOKUP(DF119,スクリプト_フロー!$A:$F,4,FALSE),"")</f>
        <v/>
      </c>
      <c r="CZ119" s="1" t="str">
        <f t="shared" si="32"/>
        <v>|</v>
      </c>
      <c r="DA119" s="1" t="str">
        <f>IFERROR(VLOOKUP(CZ119,スクリプト_フロー!$A:$F,5,FALSE),"")</f>
        <v/>
      </c>
      <c r="DB119" s="1" t="str">
        <f t="shared" si="33"/>
        <v>|</v>
      </c>
      <c r="DC119" s="1" t="str">
        <f>IFERROR(VLOOKUP(DB119,スクリプト_フロー!$A:$F,5,FALSE),"")</f>
        <v/>
      </c>
      <c r="DD119" s="1" t="str">
        <f t="shared" si="34"/>
        <v>|</v>
      </c>
      <c r="DE119" s="1" t="str">
        <f>IFERROR(VLOOKUP(DD119,スクリプト_フロー!$A:$F,5,FALSE),"")</f>
        <v/>
      </c>
      <c r="DF119" s="1" t="str">
        <f t="shared" si="35"/>
        <v>|</v>
      </c>
      <c r="DG119" s="1" t="str">
        <f>IFERROR(VLOOKUP(DF119,スクリプト_フロー!$A:$F,5,FALSE),"")</f>
        <v/>
      </c>
    </row>
    <row r="120" spans="1:111" ht="21">
      <c r="A120" s="1">
        <v>119</v>
      </c>
      <c r="B120" s="1" t="s">
        <v>327</v>
      </c>
      <c r="C120" s="1" t="s">
        <v>328</v>
      </c>
      <c r="D120" s="1" t="s">
        <v>329</v>
      </c>
      <c r="E120" s="6"/>
      <c r="F120" s="6"/>
      <c r="G120" s="6" t="s">
        <v>34</v>
      </c>
      <c r="H120" s="6"/>
      <c r="I120" s="4" t="str">
        <f>SUBSTITUTE(SUBSTITUTE(SUBSTITUTE(SUBSTITUTE(SUBSTITUTE(SUBSTITUTE(SUBSTITUTE(SUBSTITUTE(SUBSTITUTE(SUBSTITUTE(SUBSTITUTE(Q120,"{会社}",設定!$B$3),"{自分}",設定!$B$4),"{サービス}",設定!$B$5),"{料金}",設定!$B$7),"{日付1}",設定!$B$8),"{日付2}",設定!$B$9),"{時間1}",設定!$B$10),"{時間2}",設定!$B$11),"{時間}","（指定時間）"),"{日付確定}","（確定日）"),"{時間確定}","（確定時間）")</f>
        <v/>
      </c>
      <c r="J120" s="1" t="str">
        <f>IFERROR(VLOOKUP(P120,スクリプト_フロー!$A:$F,4,FALSE),"")</f>
        <v/>
      </c>
      <c r="K120" s="6" t="s">
        <v>35</v>
      </c>
      <c r="L120" s="6"/>
      <c r="M120" s="6"/>
      <c r="N120" s="6"/>
      <c r="O120" s="1"/>
      <c r="P120" s="1" t="str">
        <f t="shared" si="27"/>
        <v>①架電|</v>
      </c>
      <c r="Q120" s="1" t="str">
        <f>IFERROR(VLOOKUP(P120,スクリプト_フロー!$A:$F,5,FALSE),"")</f>
        <v/>
      </c>
      <c r="R120" s="6" t="str">
        <f t="shared" si="28"/>
        <v/>
      </c>
      <c r="S120" s="6"/>
      <c r="T120" s="4" t="str">
        <f>IF(DA120="","",SUBSTITUTE(SUBSTITUTE(SUBSTITUTE(SUBSTITUTE(SUBSTITUTE(SUBSTITUTE(SUBSTITUTE(SUBSTITUTE(SUBSTITUTE(SUBSTITUTE(SUBSTITUTE(DA120,"{会社}",設定!$B$3),"{自分}",設定!$B$4),"{サービス}",設定!$B$5),"{料金}",設定!$B$7),"{日付1}",設定!$B$8),"{日付2}",設定!$B$9),"{時間1}",設定!$B$10),"{時間2}",設定!$B$11),"{時間}","（指定時間）"),"{日付確定}","（確定日）"),"{時間確定}","（確定時間）"))</f>
        <v/>
      </c>
      <c r="U120" s="1" t="str">
        <f>IFERROR(VLOOKUP(CZ120,スクリプト_フロー!$A:$F,4,FALSE),"")</f>
        <v/>
      </c>
      <c r="V120" s="6" t="str">
        <f t="shared" si="29"/>
        <v/>
      </c>
      <c r="W120" s="6"/>
      <c r="X120" s="4" t="str">
        <f>IF(DC120="","",SUBSTITUTE(SUBSTITUTE(SUBSTITUTE(SUBSTITUTE(SUBSTITUTE(SUBSTITUTE(SUBSTITUTE(SUBSTITUTE(SUBSTITUTE(SUBSTITUTE(SUBSTITUTE(DC120,"{会社}",設定!$B$3),"{自分}",設定!$B$4),"{サービス}",設定!$B$5),"{料金}",設定!$B$7),"{日付1}",設定!$B$8),"{日付2}",設定!$B$9),"{時間1}",設定!$B$10),"{時間2}",設定!$B$11),"{時間}","（指定時間）"),"{日付確定}","（確定日）"),"{時間確定}","（確定時間）"))</f>
        <v/>
      </c>
      <c r="Y120" s="1" t="str">
        <f>IFERROR(VLOOKUP(DB120,スクリプト_フロー!$A:$F,4,FALSE),"")</f>
        <v/>
      </c>
      <c r="Z120" s="6" t="str">
        <f t="shared" si="30"/>
        <v/>
      </c>
      <c r="AA120" s="6"/>
      <c r="AB120" s="4" t="str">
        <f>IF(DE120="","",SUBSTITUTE(SUBSTITUTE(SUBSTITUTE(SUBSTITUTE(SUBSTITUTE(SUBSTITUTE(SUBSTITUTE(SUBSTITUTE(SUBSTITUTE(SUBSTITUTE(SUBSTITUTE(DE120,"{会社}",設定!$B$3),"{自分}",設定!$B$4),"{サービス}",設定!$B$5),"{料金}",設定!$B$7),"{日付1}",設定!$B$8),"{日付2}",設定!$B$9),"{時間1}",設定!$B$10),"{時間2}",設定!$B$11),"{時間}","（指定時間）"),"{日付確定}","（確定日）"),"{時間確定}","（確定時間）"))</f>
        <v/>
      </c>
      <c r="AC120" s="1" t="str">
        <f>IFERROR(VLOOKUP(DD120,スクリプト_フロー!$A:$F,4,FALSE),"")</f>
        <v/>
      </c>
      <c r="AD120" s="6" t="str">
        <f t="shared" si="31"/>
        <v/>
      </c>
      <c r="AE120" s="6"/>
      <c r="AF120" s="4" t="str">
        <f>IF(DG120="","",SUBSTITUTE(SUBSTITUTE(SUBSTITUTE(SUBSTITUTE(SUBSTITUTE(SUBSTITUTE(SUBSTITUTE(SUBSTITUTE(SUBSTITUTE(SUBSTITUTE(SUBSTITUTE(DG120,"{会社}",設定!$B$3),"{自分}",設定!$B$4),"{サービス}",設定!$B$5),"{料金}",設定!$B$7),"{日付1}",設定!$B$8),"{日付2}",設定!$B$9),"{時間1}",設定!$B$10),"{時間2}",設定!$B$11),"{時間}","（指定時間）"),"{日付確定}","（確定日）"),"{時間確定}","（確定時間）"))</f>
        <v/>
      </c>
      <c r="AG120" s="1" t="str">
        <f>IFERROR(VLOOKUP(DF120,スクリプト_フロー!$A:$F,4,FALSE),"")</f>
        <v/>
      </c>
      <c r="CZ120" s="1" t="str">
        <f t="shared" si="32"/>
        <v>|</v>
      </c>
      <c r="DA120" s="1" t="str">
        <f>IFERROR(VLOOKUP(CZ120,スクリプト_フロー!$A:$F,5,FALSE),"")</f>
        <v/>
      </c>
      <c r="DB120" s="1" t="str">
        <f t="shared" si="33"/>
        <v>|</v>
      </c>
      <c r="DC120" s="1" t="str">
        <f>IFERROR(VLOOKUP(DB120,スクリプト_フロー!$A:$F,5,FALSE),"")</f>
        <v/>
      </c>
      <c r="DD120" s="1" t="str">
        <f t="shared" si="34"/>
        <v>|</v>
      </c>
      <c r="DE120" s="1" t="str">
        <f>IFERROR(VLOOKUP(DD120,スクリプト_フロー!$A:$F,5,FALSE),"")</f>
        <v/>
      </c>
      <c r="DF120" s="1" t="str">
        <f t="shared" si="35"/>
        <v>|</v>
      </c>
      <c r="DG120" s="1" t="str">
        <f>IFERROR(VLOOKUP(DF120,スクリプト_フロー!$A:$F,5,FALSE),"")</f>
        <v/>
      </c>
    </row>
    <row r="121" spans="1:111" ht="21">
      <c r="A121" s="1">
        <v>120</v>
      </c>
      <c r="B121" s="1" t="s">
        <v>330</v>
      </c>
      <c r="C121" s="1" t="s">
        <v>331</v>
      </c>
      <c r="D121" s="1" t="s">
        <v>94</v>
      </c>
      <c r="E121" s="6"/>
      <c r="F121" s="6"/>
      <c r="G121" s="6" t="s">
        <v>34</v>
      </c>
      <c r="H121" s="6"/>
      <c r="I121" s="4" t="str">
        <f>SUBSTITUTE(SUBSTITUTE(SUBSTITUTE(SUBSTITUTE(SUBSTITUTE(SUBSTITUTE(SUBSTITUTE(SUBSTITUTE(SUBSTITUTE(SUBSTITUTE(SUBSTITUTE(Q121,"{会社}",設定!$B$3),"{自分}",設定!$B$4),"{サービス}",設定!$B$5),"{料金}",設定!$B$7),"{日付1}",設定!$B$8),"{日付2}",設定!$B$9),"{時間1}",設定!$B$10),"{時間2}",設定!$B$11),"{時間}","（指定時間）"),"{日付確定}","（確定日）"),"{時間確定}","（確定時間）")</f>
        <v/>
      </c>
      <c r="J121" s="1" t="str">
        <f>IFERROR(VLOOKUP(P121,スクリプト_フロー!$A:$F,4,FALSE),"")</f>
        <v/>
      </c>
      <c r="K121" s="6" t="s">
        <v>35</v>
      </c>
      <c r="L121" s="6"/>
      <c r="M121" s="6"/>
      <c r="N121" s="6"/>
      <c r="O121" s="1"/>
      <c r="P121" s="1" t="str">
        <f t="shared" si="27"/>
        <v>①架電|</v>
      </c>
      <c r="Q121" s="1" t="str">
        <f>IFERROR(VLOOKUP(P121,スクリプト_フロー!$A:$F,5,FALSE),"")</f>
        <v/>
      </c>
      <c r="R121" s="6" t="str">
        <f t="shared" si="28"/>
        <v/>
      </c>
      <c r="S121" s="6"/>
      <c r="T121" s="4" t="str">
        <f>IF(DA121="","",SUBSTITUTE(SUBSTITUTE(SUBSTITUTE(SUBSTITUTE(SUBSTITUTE(SUBSTITUTE(SUBSTITUTE(SUBSTITUTE(SUBSTITUTE(SUBSTITUTE(SUBSTITUTE(DA121,"{会社}",設定!$B$3),"{自分}",設定!$B$4),"{サービス}",設定!$B$5),"{料金}",設定!$B$7),"{日付1}",設定!$B$8),"{日付2}",設定!$B$9),"{時間1}",設定!$B$10),"{時間2}",設定!$B$11),"{時間}","（指定時間）"),"{日付確定}","（確定日）"),"{時間確定}","（確定時間）"))</f>
        <v/>
      </c>
      <c r="U121" s="1" t="str">
        <f>IFERROR(VLOOKUP(CZ121,スクリプト_フロー!$A:$F,4,FALSE),"")</f>
        <v/>
      </c>
      <c r="V121" s="6" t="str">
        <f t="shared" si="29"/>
        <v/>
      </c>
      <c r="W121" s="6"/>
      <c r="X121" s="4" t="str">
        <f>IF(DC121="","",SUBSTITUTE(SUBSTITUTE(SUBSTITUTE(SUBSTITUTE(SUBSTITUTE(SUBSTITUTE(SUBSTITUTE(SUBSTITUTE(SUBSTITUTE(SUBSTITUTE(SUBSTITUTE(DC121,"{会社}",設定!$B$3),"{自分}",設定!$B$4),"{サービス}",設定!$B$5),"{料金}",設定!$B$7),"{日付1}",設定!$B$8),"{日付2}",設定!$B$9),"{時間1}",設定!$B$10),"{時間2}",設定!$B$11),"{時間}","（指定時間）"),"{日付確定}","（確定日）"),"{時間確定}","（確定時間）"))</f>
        <v/>
      </c>
      <c r="Y121" s="1" t="str">
        <f>IFERROR(VLOOKUP(DB121,スクリプト_フロー!$A:$F,4,FALSE),"")</f>
        <v/>
      </c>
      <c r="Z121" s="6" t="str">
        <f t="shared" si="30"/>
        <v/>
      </c>
      <c r="AA121" s="6"/>
      <c r="AB121" s="4" t="str">
        <f>IF(DE121="","",SUBSTITUTE(SUBSTITUTE(SUBSTITUTE(SUBSTITUTE(SUBSTITUTE(SUBSTITUTE(SUBSTITUTE(SUBSTITUTE(SUBSTITUTE(SUBSTITUTE(SUBSTITUTE(DE121,"{会社}",設定!$B$3),"{自分}",設定!$B$4),"{サービス}",設定!$B$5),"{料金}",設定!$B$7),"{日付1}",設定!$B$8),"{日付2}",設定!$B$9),"{時間1}",設定!$B$10),"{時間2}",設定!$B$11),"{時間}","（指定時間）"),"{日付確定}","（確定日）"),"{時間確定}","（確定時間）"))</f>
        <v/>
      </c>
      <c r="AC121" s="1" t="str">
        <f>IFERROR(VLOOKUP(DD121,スクリプト_フロー!$A:$F,4,FALSE),"")</f>
        <v/>
      </c>
      <c r="AD121" s="6" t="str">
        <f t="shared" si="31"/>
        <v/>
      </c>
      <c r="AE121" s="6"/>
      <c r="AF121" s="4" t="str">
        <f>IF(DG121="","",SUBSTITUTE(SUBSTITUTE(SUBSTITUTE(SUBSTITUTE(SUBSTITUTE(SUBSTITUTE(SUBSTITUTE(SUBSTITUTE(SUBSTITUTE(SUBSTITUTE(SUBSTITUTE(DG121,"{会社}",設定!$B$3),"{自分}",設定!$B$4),"{サービス}",設定!$B$5),"{料金}",設定!$B$7),"{日付1}",設定!$B$8),"{日付2}",設定!$B$9),"{時間1}",設定!$B$10),"{時間2}",設定!$B$11),"{時間}","（指定時間）"),"{日付確定}","（確定日）"),"{時間確定}","（確定時間）"))</f>
        <v/>
      </c>
      <c r="AG121" s="1" t="str">
        <f>IFERROR(VLOOKUP(DF121,スクリプト_フロー!$A:$F,4,FALSE),"")</f>
        <v/>
      </c>
      <c r="CZ121" s="1" t="str">
        <f t="shared" si="32"/>
        <v>|</v>
      </c>
      <c r="DA121" s="1" t="str">
        <f>IFERROR(VLOOKUP(CZ121,スクリプト_フロー!$A:$F,5,FALSE),"")</f>
        <v/>
      </c>
      <c r="DB121" s="1" t="str">
        <f t="shared" si="33"/>
        <v>|</v>
      </c>
      <c r="DC121" s="1" t="str">
        <f>IFERROR(VLOOKUP(DB121,スクリプト_フロー!$A:$F,5,FALSE),"")</f>
        <v/>
      </c>
      <c r="DD121" s="1" t="str">
        <f t="shared" si="34"/>
        <v>|</v>
      </c>
      <c r="DE121" s="1" t="str">
        <f>IFERROR(VLOOKUP(DD121,スクリプト_フロー!$A:$F,5,FALSE),"")</f>
        <v/>
      </c>
      <c r="DF121" s="1" t="str">
        <f t="shared" si="35"/>
        <v>|</v>
      </c>
      <c r="DG121" s="1" t="str">
        <f>IFERROR(VLOOKUP(DF121,スクリプト_フロー!$A:$F,5,FALSE),"")</f>
        <v/>
      </c>
    </row>
    <row r="122" spans="1:111" ht="21">
      <c r="A122" s="1">
        <v>121</v>
      </c>
      <c r="B122" s="1" t="s">
        <v>205</v>
      </c>
      <c r="C122" s="1" t="s">
        <v>206</v>
      </c>
      <c r="D122" s="1" t="s">
        <v>207</v>
      </c>
      <c r="E122" s="6"/>
      <c r="F122" s="6"/>
      <c r="G122" s="6" t="s">
        <v>34</v>
      </c>
      <c r="H122" s="6"/>
      <c r="I122" s="4" t="str">
        <f>SUBSTITUTE(SUBSTITUTE(SUBSTITUTE(SUBSTITUTE(SUBSTITUTE(SUBSTITUTE(SUBSTITUTE(SUBSTITUTE(SUBSTITUTE(SUBSTITUTE(SUBSTITUTE(Q122,"{会社}",設定!$B$3),"{自分}",設定!$B$4),"{サービス}",設定!$B$5),"{料金}",設定!$B$7),"{日付1}",設定!$B$8),"{日付2}",設定!$B$9),"{時間1}",設定!$B$10),"{時間2}",設定!$B$11),"{時間}","（指定時間）"),"{日付確定}","（確定日）"),"{時間確定}","（確定時間）")</f>
        <v/>
      </c>
      <c r="J122" s="1" t="str">
        <f>IFERROR(VLOOKUP(P122,スクリプト_フロー!$A:$F,4,FALSE),"")</f>
        <v/>
      </c>
      <c r="K122" s="6" t="s">
        <v>35</v>
      </c>
      <c r="L122" s="6"/>
      <c r="M122" s="6"/>
      <c r="N122" s="6"/>
      <c r="O122" s="1"/>
      <c r="P122" s="1" t="str">
        <f t="shared" si="27"/>
        <v>①架電|</v>
      </c>
      <c r="Q122" s="1" t="str">
        <f>IFERROR(VLOOKUP(P122,スクリプト_フロー!$A:$F,5,FALSE),"")</f>
        <v/>
      </c>
      <c r="R122" s="6" t="str">
        <f t="shared" si="28"/>
        <v/>
      </c>
      <c r="S122" s="6"/>
      <c r="T122" s="4" t="str">
        <f>IF(DA122="","",SUBSTITUTE(SUBSTITUTE(SUBSTITUTE(SUBSTITUTE(SUBSTITUTE(SUBSTITUTE(SUBSTITUTE(SUBSTITUTE(SUBSTITUTE(SUBSTITUTE(SUBSTITUTE(DA122,"{会社}",設定!$B$3),"{自分}",設定!$B$4),"{サービス}",設定!$B$5),"{料金}",設定!$B$7),"{日付1}",設定!$B$8),"{日付2}",設定!$B$9),"{時間1}",設定!$B$10),"{時間2}",設定!$B$11),"{時間}","（指定時間）"),"{日付確定}","（確定日）"),"{時間確定}","（確定時間）"))</f>
        <v/>
      </c>
      <c r="U122" s="1" t="str">
        <f>IFERROR(VLOOKUP(CZ122,スクリプト_フロー!$A:$F,4,FALSE),"")</f>
        <v/>
      </c>
      <c r="V122" s="6" t="str">
        <f t="shared" si="29"/>
        <v/>
      </c>
      <c r="W122" s="6"/>
      <c r="X122" s="4" t="str">
        <f>IF(DC122="","",SUBSTITUTE(SUBSTITUTE(SUBSTITUTE(SUBSTITUTE(SUBSTITUTE(SUBSTITUTE(SUBSTITUTE(SUBSTITUTE(SUBSTITUTE(SUBSTITUTE(SUBSTITUTE(DC122,"{会社}",設定!$B$3),"{自分}",設定!$B$4),"{サービス}",設定!$B$5),"{料金}",設定!$B$7),"{日付1}",設定!$B$8),"{日付2}",設定!$B$9),"{時間1}",設定!$B$10),"{時間2}",設定!$B$11),"{時間}","（指定時間）"),"{日付確定}","（確定日）"),"{時間確定}","（確定時間）"))</f>
        <v/>
      </c>
      <c r="Y122" s="1" t="str">
        <f>IFERROR(VLOOKUP(DB122,スクリプト_フロー!$A:$F,4,FALSE),"")</f>
        <v/>
      </c>
      <c r="Z122" s="6" t="str">
        <f t="shared" si="30"/>
        <v/>
      </c>
      <c r="AA122" s="6"/>
      <c r="AB122" s="4" t="str">
        <f>IF(DE122="","",SUBSTITUTE(SUBSTITUTE(SUBSTITUTE(SUBSTITUTE(SUBSTITUTE(SUBSTITUTE(SUBSTITUTE(SUBSTITUTE(SUBSTITUTE(SUBSTITUTE(SUBSTITUTE(DE122,"{会社}",設定!$B$3),"{自分}",設定!$B$4),"{サービス}",設定!$B$5),"{料金}",設定!$B$7),"{日付1}",設定!$B$8),"{日付2}",設定!$B$9),"{時間1}",設定!$B$10),"{時間2}",設定!$B$11),"{時間}","（指定時間）"),"{日付確定}","（確定日）"),"{時間確定}","（確定時間）"))</f>
        <v/>
      </c>
      <c r="AC122" s="1" t="str">
        <f>IFERROR(VLOOKUP(DD122,スクリプト_フロー!$A:$F,4,FALSE),"")</f>
        <v/>
      </c>
      <c r="AD122" s="6" t="str">
        <f t="shared" si="31"/>
        <v/>
      </c>
      <c r="AE122" s="6"/>
      <c r="AF122" s="4" t="str">
        <f>IF(DG122="","",SUBSTITUTE(SUBSTITUTE(SUBSTITUTE(SUBSTITUTE(SUBSTITUTE(SUBSTITUTE(SUBSTITUTE(SUBSTITUTE(SUBSTITUTE(SUBSTITUTE(SUBSTITUTE(DG122,"{会社}",設定!$B$3),"{自分}",設定!$B$4),"{サービス}",設定!$B$5),"{料金}",設定!$B$7),"{日付1}",設定!$B$8),"{日付2}",設定!$B$9),"{時間1}",設定!$B$10),"{時間2}",設定!$B$11),"{時間}","（指定時間）"),"{日付確定}","（確定日）"),"{時間確定}","（確定時間）"))</f>
        <v/>
      </c>
      <c r="AG122" s="1" t="str">
        <f>IFERROR(VLOOKUP(DF122,スクリプト_フロー!$A:$F,4,FALSE),"")</f>
        <v/>
      </c>
      <c r="CZ122" s="1" t="str">
        <f t="shared" si="32"/>
        <v>|</v>
      </c>
      <c r="DA122" s="1" t="str">
        <f>IFERROR(VLOOKUP(CZ122,スクリプト_フロー!$A:$F,5,FALSE),"")</f>
        <v/>
      </c>
      <c r="DB122" s="1" t="str">
        <f t="shared" si="33"/>
        <v>|</v>
      </c>
      <c r="DC122" s="1" t="str">
        <f>IFERROR(VLOOKUP(DB122,スクリプト_フロー!$A:$F,5,FALSE),"")</f>
        <v/>
      </c>
      <c r="DD122" s="1" t="str">
        <f t="shared" si="34"/>
        <v>|</v>
      </c>
      <c r="DE122" s="1" t="str">
        <f>IFERROR(VLOOKUP(DD122,スクリプト_フロー!$A:$F,5,FALSE),"")</f>
        <v/>
      </c>
      <c r="DF122" s="1" t="str">
        <f t="shared" si="35"/>
        <v>|</v>
      </c>
      <c r="DG122" s="1" t="str">
        <f>IFERROR(VLOOKUP(DF122,スクリプト_フロー!$A:$F,5,FALSE),"")</f>
        <v/>
      </c>
    </row>
    <row r="123" spans="1:111" ht="21">
      <c r="A123" s="1">
        <v>122</v>
      </c>
      <c r="B123" s="1" t="s">
        <v>332</v>
      </c>
      <c r="C123" s="1" t="s">
        <v>333</v>
      </c>
      <c r="D123" s="1" t="s">
        <v>44</v>
      </c>
      <c r="E123" s="6"/>
      <c r="F123" s="6"/>
      <c r="G123" s="6" t="s">
        <v>34</v>
      </c>
      <c r="H123" s="6"/>
      <c r="I123" s="4" t="str">
        <f>SUBSTITUTE(SUBSTITUTE(SUBSTITUTE(SUBSTITUTE(SUBSTITUTE(SUBSTITUTE(SUBSTITUTE(SUBSTITUTE(SUBSTITUTE(SUBSTITUTE(SUBSTITUTE(Q123,"{会社}",設定!$B$3),"{自分}",設定!$B$4),"{サービス}",設定!$B$5),"{料金}",設定!$B$7),"{日付1}",設定!$B$8),"{日付2}",設定!$B$9),"{時間1}",設定!$B$10),"{時間2}",設定!$B$11),"{時間}","（指定時間）"),"{日付確定}","（確定日）"),"{時間確定}","（確定時間）")</f>
        <v/>
      </c>
      <c r="J123" s="1" t="str">
        <f>IFERROR(VLOOKUP(P123,スクリプト_フロー!$A:$F,4,FALSE),"")</f>
        <v/>
      </c>
      <c r="K123" s="6" t="s">
        <v>35</v>
      </c>
      <c r="L123" s="6"/>
      <c r="M123" s="6"/>
      <c r="N123" s="6"/>
      <c r="O123" s="1"/>
      <c r="P123" s="1" t="str">
        <f t="shared" si="27"/>
        <v>①架電|</v>
      </c>
      <c r="Q123" s="1" t="str">
        <f>IFERROR(VLOOKUP(P123,スクリプト_フロー!$A:$F,5,FALSE),"")</f>
        <v/>
      </c>
      <c r="R123" s="6" t="str">
        <f t="shared" si="28"/>
        <v/>
      </c>
      <c r="S123" s="6"/>
      <c r="T123" s="4" t="str">
        <f>IF(DA123="","",SUBSTITUTE(SUBSTITUTE(SUBSTITUTE(SUBSTITUTE(SUBSTITUTE(SUBSTITUTE(SUBSTITUTE(SUBSTITUTE(SUBSTITUTE(SUBSTITUTE(SUBSTITUTE(DA123,"{会社}",設定!$B$3),"{自分}",設定!$B$4),"{サービス}",設定!$B$5),"{料金}",設定!$B$7),"{日付1}",設定!$B$8),"{日付2}",設定!$B$9),"{時間1}",設定!$B$10),"{時間2}",設定!$B$11),"{時間}","（指定時間）"),"{日付確定}","（確定日）"),"{時間確定}","（確定時間）"))</f>
        <v/>
      </c>
      <c r="U123" s="1" t="str">
        <f>IFERROR(VLOOKUP(CZ123,スクリプト_フロー!$A:$F,4,FALSE),"")</f>
        <v/>
      </c>
      <c r="V123" s="6" t="str">
        <f t="shared" si="29"/>
        <v/>
      </c>
      <c r="W123" s="6"/>
      <c r="X123" s="4" t="str">
        <f>IF(DC123="","",SUBSTITUTE(SUBSTITUTE(SUBSTITUTE(SUBSTITUTE(SUBSTITUTE(SUBSTITUTE(SUBSTITUTE(SUBSTITUTE(SUBSTITUTE(SUBSTITUTE(SUBSTITUTE(DC123,"{会社}",設定!$B$3),"{自分}",設定!$B$4),"{サービス}",設定!$B$5),"{料金}",設定!$B$7),"{日付1}",設定!$B$8),"{日付2}",設定!$B$9),"{時間1}",設定!$B$10),"{時間2}",設定!$B$11),"{時間}","（指定時間）"),"{日付確定}","（確定日）"),"{時間確定}","（確定時間）"))</f>
        <v/>
      </c>
      <c r="Y123" s="1" t="str">
        <f>IFERROR(VLOOKUP(DB123,スクリプト_フロー!$A:$F,4,FALSE),"")</f>
        <v/>
      </c>
      <c r="Z123" s="6" t="str">
        <f t="shared" si="30"/>
        <v/>
      </c>
      <c r="AA123" s="6"/>
      <c r="AB123" s="4" t="str">
        <f>IF(DE123="","",SUBSTITUTE(SUBSTITUTE(SUBSTITUTE(SUBSTITUTE(SUBSTITUTE(SUBSTITUTE(SUBSTITUTE(SUBSTITUTE(SUBSTITUTE(SUBSTITUTE(SUBSTITUTE(DE123,"{会社}",設定!$B$3),"{自分}",設定!$B$4),"{サービス}",設定!$B$5),"{料金}",設定!$B$7),"{日付1}",設定!$B$8),"{日付2}",設定!$B$9),"{時間1}",設定!$B$10),"{時間2}",設定!$B$11),"{時間}","（指定時間）"),"{日付確定}","（確定日）"),"{時間確定}","（確定時間）"))</f>
        <v/>
      </c>
      <c r="AC123" s="1" t="str">
        <f>IFERROR(VLOOKUP(DD123,スクリプト_フロー!$A:$F,4,FALSE),"")</f>
        <v/>
      </c>
      <c r="AD123" s="6" t="str">
        <f t="shared" si="31"/>
        <v/>
      </c>
      <c r="AE123" s="6"/>
      <c r="AF123" s="4" t="str">
        <f>IF(DG123="","",SUBSTITUTE(SUBSTITUTE(SUBSTITUTE(SUBSTITUTE(SUBSTITUTE(SUBSTITUTE(SUBSTITUTE(SUBSTITUTE(SUBSTITUTE(SUBSTITUTE(SUBSTITUTE(DG123,"{会社}",設定!$B$3),"{自分}",設定!$B$4),"{サービス}",設定!$B$5),"{料金}",設定!$B$7),"{日付1}",設定!$B$8),"{日付2}",設定!$B$9),"{時間1}",設定!$B$10),"{時間2}",設定!$B$11),"{時間}","（指定時間）"),"{日付確定}","（確定日）"),"{時間確定}","（確定時間）"))</f>
        <v/>
      </c>
      <c r="AG123" s="1" t="str">
        <f>IFERROR(VLOOKUP(DF123,スクリプト_フロー!$A:$F,4,FALSE),"")</f>
        <v/>
      </c>
      <c r="CZ123" s="1" t="str">
        <f t="shared" si="32"/>
        <v>|</v>
      </c>
      <c r="DA123" s="1" t="str">
        <f>IFERROR(VLOOKUP(CZ123,スクリプト_フロー!$A:$F,5,FALSE),"")</f>
        <v/>
      </c>
      <c r="DB123" s="1" t="str">
        <f t="shared" si="33"/>
        <v>|</v>
      </c>
      <c r="DC123" s="1" t="str">
        <f>IFERROR(VLOOKUP(DB123,スクリプト_フロー!$A:$F,5,FALSE),"")</f>
        <v/>
      </c>
      <c r="DD123" s="1" t="str">
        <f t="shared" si="34"/>
        <v>|</v>
      </c>
      <c r="DE123" s="1" t="str">
        <f>IFERROR(VLOOKUP(DD123,スクリプト_フロー!$A:$F,5,FALSE),"")</f>
        <v/>
      </c>
      <c r="DF123" s="1" t="str">
        <f t="shared" si="35"/>
        <v>|</v>
      </c>
      <c r="DG123" s="1" t="str">
        <f>IFERROR(VLOOKUP(DF123,スクリプト_フロー!$A:$F,5,FALSE),"")</f>
        <v/>
      </c>
    </row>
    <row r="124" spans="1:111" ht="21">
      <c r="A124" s="1">
        <v>123</v>
      </c>
      <c r="B124" s="1" t="s">
        <v>334</v>
      </c>
      <c r="C124" s="1" t="s">
        <v>335</v>
      </c>
      <c r="D124" s="1" t="s">
        <v>143</v>
      </c>
      <c r="E124" s="6"/>
      <c r="F124" s="6"/>
      <c r="G124" s="6" t="s">
        <v>34</v>
      </c>
      <c r="H124" s="6"/>
      <c r="I124" s="4" t="str">
        <f>SUBSTITUTE(SUBSTITUTE(SUBSTITUTE(SUBSTITUTE(SUBSTITUTE(SUBSTITUTE(SUBSTITUTE(SUBSTITUTE(SUBSTITUTE(SUBSTITUTE(SUBSTITUTE(Q124,"{会社}",設定!$B$3),"{自分}",設定!$B$4),"{サービス}",設定!$B$5),"{料金}",設定!$B$7),"{日付1}",設定!$B$8),"{日付2}",設定!$B$9),"{時間1}",設定!$B$10),"{時間2}",設定!$B$11),"{時間}","（指定時間）"),"{日付確定}","（確定日）"),"{時間確定}","（確定時間）")</f>
        <v/>
      </c>
      <c r="J124" s="1" t="str">
        <f>IFERROR(VLOOKUP(P124,スクリプト_フロー!$A:$F,4,FALSE),"")</f>
        <v/>
      </c>
      <c r="K124" s="6" t="s">
        <v>35</v>
      </c>
      <c r="L124" s="6"/>
      <c r="M124" s="6"/>
      <c r="N124" s="6"/>
      <c r="O124" s="1"/>
      <c r="P124" s="1" t="str">
        <f t="shared" si="27"/>
        <v>①架電|</v>
      </c>
      <c r="Q124" s="1" t="str">
        <f>IFERROR(VLOOKUP(P124,スクリプト_フロー!$A:$F,5,FALSE),"")</f>
        <v/>
      </c>
      <c r="R124" s="6" t="str">
        <f t="shared" si="28"/>
        <v/>
      </c>
      <c r="S124" s="6"/>
      <c r="T124" s="4" t="str">
        <f>IF(DA124="","",SUBSTITUTE(SUBSTITUTE(SUBSTITUTE(SUBSTITUTE(SUBSTITUTE(SUBSTITUTE(SUBSTITUTE(SUBSTITUTE(SUBSTITUTE(SUBSTITUTE(SUBSTITUTE(DA124,"{会社}",設定!$B$3),"{自分}",設定!$B$4),"{サービス}",設定!$B$5),"{料金}",設定!$B$7),"{日付1}",設定!$B$8),"{日付2}",設定!$B$9),"{時間1}",設定!$B$10),"{時間2}",設定!$B$11),"{時間}","（指定時間）"),"{日付確定}","（確定日）"),"{時間確定}","（確定時間）"))</f>
        <v/>
      </c>
      <c r="U124" s="1" t="str">
        <f>IFERROR(VLOOKUP(CZ124,スクリプト_フロー!$A:$F,4,FALSE),"")</f>
        <v/>
      </c>
      <c r="V124" s="6" t="str">
        <f t="shared" si="29"/>
        <v/>
      </c>
      <c r="W124" s="6"/>
      <c r="X124" s="4" t="str">
        <f>IF(DC124="","",SUBSTITUTE(SUBSTITUTE(SUBSTITUTE(SUBSTITUTE(SUBSTITUTE(SUBSTITUTE(SUBSTITUTE(SUBSTITUTE(SUBSTITUTE(SUBSTITUTE(SUBSTITUTE(DC124,"{会社}",設定!$B$3),"{自分}",設定!$B$4),"{サービス}",設定!$B$5),"{料金}",設定!$B$7),"{日付1}",設定!$B$8),"{日付2}",設定!$B$9),"{時間1}",設定!$B$10),"{時間2}",設定!$B$11),"{時間}","（指定時間）"),"{日付確定}","（確定日）"),"{時間確定}","（確定時間）"))</f>
        <v/>
      </c>
      <c r="Y124" s="1" t="str">
        <f>IFERROR(VLOOKUP(DB124,スクリプト_フロー!$A:$F,4,FALSE),"")</f>
        <v/>
      </c>
      <c r="Z124" s="6" t="str">
        <f t="shared" si="30"/>
        <v/>
      </c>
      <c r="AA124" s="6"/>
      <c r="AB124" s="4" t="str">
        <f>IF(DE124="","",SUBSTITUTE(SUBSTITUTE(SUBSTITUTE(SUBSTITUTE(SUBSTITUTE(SUBSTITUTE(SUBSTITUTE(SUBSTITUTE(SUBSTITUTE(SUBSTITUTE(SUBSTITUTE(DE124,"{会社}",設定!$B$3),"{自分}",設定!$B$4),"{サービス}",設定!$B$5),"{料金}",設定!$B$7),"{日付1}",設定!$B$8),"{日付2}",設定!$B$9),"{時間1}",設定!$B$10),"{時間2}",設定!$B$11),"{時間}","（指定時間）"),"{日付確定}","（確定日）"),"{時間確定}","（確定時間）"))</f>
        <v/>
      </c>
      <c r="AC124" s="1" t="str">
        <f>IFERROR(VLOOKUP(DD124,スクリプト_フロー!$A:$F,4,FALSE),"")</f>
        <v/>
      </c>
      <c r="AD124" s="6" t="str">
        <f t="shared" si="31"/>
        <v/>
      </c>
      <c r="AE124" s="6"/>
      <c r="AF124" s="4" t="str">
        <f>IF(DG124="","",SUBSTITUTE(SUBSTITUTE(SUBSTITUTE(SUBSTITUTE(SUBSTITUTE(SUBSTITUTE(SUBSTITUTE(SUBSTITUTE(SUBSTITUTE(SUBSTITUTE(SUBSTITUTE(DG124,"{会社}",設定!$B$3),"{自分}",設定!$B$4),"{サービス}",設定!$B$5),"{料金}",設定!$B$7),"{日付1}",設定!$B$8),"{日付2}",設定!$B$9),"{時間1}",設定!$B$10),"{時間2}",設定!$B$11),"{時間}","（指定時間）"),"{日付確定}","（確定日）"),"{時間確定}","（確定時間）"))</f>
        <v/>
      </c>
      <c r="AG124" s="1" t="str">
        <f>IFERROR(VLOOKUP(DF124,スクリプト_フロー!$A:$F,4,FALSE),"")</f>
        <v/>
      </c>
      <c r="CZ124" s="1" t="str">
        <f t="shared" si="32"/>
        <v>|</v>
      </c>
      <c r="DA124" s="1" t="str">
        <f>IFERROR(VLOOKUP(CZ124,スクリプト_フロー!$A:$F,5,FALSE),"")</f>
        <v/>
      </c>
      <c r="DB124" s="1" t="str">
        <f t="shared" si="33"/>
        <v>|</v>
      </c>
      <c r="DC124" s="1" t="str">
        <f>IFERROR(VLOOKUP(DB124,スクリプト_フロー!$A:$F,5,FALSE),"")</f>
        <v/>
      </c>
      <c r="DD124" s="1" t="str">
        <f t="shared" si="34"/>
        <v>|</v>
      </c>
      <c r="DE124" s="1" t="str">
        <f>IFERROR(VLOOKUP(DD124,スクリプト_フロー!$A:$F,5,FALSE),"")</f>
        <v/>
      </c>
      <c r="DF124" s="1" t="str">
        <f t="shared" si="35"/>
        <v>|</v>
      </c>
      <c r="DG124" s="1" t="str">
        <f>IFERROR(VLOOKUP(DF124,スクリプト_フロー!$A:$F,5,FALSE),"")</f>
        <v/>
      </c>
    </row>
    <row r="125" spans="1:111" ht="21">
      <c r="A125" s="1">
        <v>124</v>
      </c>
      <c r="B125" s="1" t="s">
        <v>336</v>
      </c>
      <c r="C125" s="1" t="s">
        <v>337</v>
      </c>
      <c r="D125" s="1" t="s">
        <v>143</v>
      </c>
      <c r="E125" s="6"/>
      <c r="F125" s="6"/>
      <c r="G125" s="6" t="s">
        <v>34</v>
      </c>
      <c r="H125" s="6"/>
      <c r="I125" s="4" t="str">
        <f>SUBSTITUTE(SUBSTITUTE(SUBSTITUTE(SUBSTITUTE(SUBSTITUTE(SUBSTITUTE(SUBSTITUTE(SUBSTITUTE(SUBSTITUTE(SUBSTITUTE(SUBSTITUTE(Q125,"{会社}",設定!$B$3),"{自分}",設定!$B$4),"{サービス}",設定!$B$5),"{料金}",設定!$B$7),"{日付1}",設定!$B$8),"{日付2}",設定!$B$9),"{時間1}",設定!$B$10),"{時間2}",設定!$B$11),"{時間}","（指定時間）"),"{日付確定}","（確定日）"),"{時間確定}","（確定時間）")</f>
        <v/>
      </c>
      <c r="J125" s="1" t="str">
        <f>IFERROR(VLOOKUP(P125,スクリプト_フロー!$A:$F,4,FALSE),"")</f>
        <v/>
      </c>
      <c r="K125" s="6" t="s">
        <v>35</v>
      </c>
      <c r="L125" s="6"/>
      <c r="M125" s="6"/>
      <c r="N125" s="6"/>
      <c r="O125" s="1"/>
      <c r="P125" s="1" t="str">
        <f t="shared" si="27"/>
        <v>①架電|</v>
      </c>
      <c r="Q125" s="1" t="str">
        <f>IFERROR(VLOOKUP(P125,スクリプト_フロー!$A:$F,5,FALSE),"")</f>
        <v/>
      </c>
      <c r="R125" s="6" t="str">
        <f t="shared" si="28"/>
        <v/>
      </c>
      <c r="S125" s="6"/>
      <c r="T125" s="4" t="str">
        <f>IF(DA125="","",SUBSTITUTE(SUBSTITUTE(SUBSTITUTE(SUBSTITUTE(SUBSTITUTE(SUBSTITUTE(SUBSTITUTE(SUBSTITUTE(SUBSTITUTE(SUBSTITUTE(SUBSTITUTE(DA125,"{会社}",設定!$B$3),"{自分}",設定!$B$4),"{サービス}",設定!$B$5),"{料金}",設定!$B$7),"{日付1}",設定!$B$8),"{日付2}",設定!$B$9),"{時間1}",設定!$B$10),"{時間2}",設定!$B$11),"{時間}","（指定時間）"),"{日付確定}","（確定日）"),"{時間確定}","（確定時間）"))</f>
        <v/>
      </c>
      <c r="U125" s="1" t="str">
        <f>IFERROR(VLOOKUP(CZ125,スクリプト_フロー!$A:$F,4,FALSE),"")</f>
        <v/>
      </c>
      <c r="V125" s="6" t="str">
        <f t="shared" si="29"/>
        <v/>
      </c>
      <c r="W125" s="6"/>
      <c r="X125" s="4" t="str">
        <f>IF(DC125="","",SUBSTITUTE(SUBSTITUTE(SUBSTITUTE(SUBSTITUTE(SUBSTITUTE(SUBSTITUTE(SUBSTITUTE(SUBSTITUTE(SUBSTITUTE(SUBSTITUTE(SUBSTITUTE(DC125,"{会社}",設定!$B$3),"{自分}",設定!$B$4),"{サービス}",設定!$B$5),"{料金}",設定!$B$7),"{日付1}",設定!$B$8),"{日付2}",設定!$B$9),"{時間1}",設定!$B$10),"{時間2}",設定!$B$11),"{時間}","（指定時間）"),"{日付確定}","（確定日）"),"{時間確定}","（確定時間）"))</f>
        <v/>
      </c>
      <c r="Y125" s="1" t="str">
        <f>IFERROR(VLOOKUP(DB125,スクリプト_フロー!$A:$F,4,FALSE),"")</f>
        <v/>
      </c>
      <c r="Z125" s="6" t="str">
        <f t="shared" si="30"/>
        <v/>
      </c>
      <c r="AA125" s="6"/>
      <c r="AB125" s="4" t="str">
        <f>IF(DE125="","",SUBSTITUTE(SUBSTITUTE(SUBSTITUTE(SUBSTITUTE(SUBSTITUTE(SUBSTITUTE(SUBSTITUTE(SUBSTITUTE(SUBSTITUTE(SUBSTITUTE(SUBSTITUTE(DE125,"{会社}",設定!$B$3),"{自分}",設定!$B$4),"{サービス}",設定!$B$5),"{料金}",設定!$B$7),"{日付1}",設定!$B$8),"{日付2}",設定!$B$9),"{時間1}",設定!$B$10),"{時間2}",設定!$B$11),"{時間}","（指定時間）"),"{日付確定}","（確定日）"),"{時間確定}","（確定時間）"))</f>
        <v/>
      </c>
      <c r="AC125" s="1" t="str">
        <f>IFERROR(VLOOKUP(DD125,スクリプト_フロー!$A:$F,4,FALSE),"")</f>
        <v/>
      </c>
      <c r="AD125" s="6" t="str">
        <f t="shared" si="31"/>
        <v/>
      </c>
      <c r="AE125" s="6"/>
      <c r="AF125" s="4" t="str">
        <f>IF(DG125="","",SUBSTITUTE(SUBSTITUTE(SUBSTITUTE(SUBSTITUTE(SUBSTITUTE(SUBSTITUTE(SUBSTITUTE(SUBSTITUTE(SUBSTITUTE(SUBSTITUTE(SUBSTITUTE(DG125,"{会社}",設定!$B$3),"{自分}",設定!$B$4),"{サービス}",設定!$B$5),"{料金}",設定!$B$7),"{日付1}",設定!$B$8),"{日付2}",設定!$B$9),"{時間1}",設定!$B$10),"{時間2}",設定!$B$11),"{時間}","（指定時間）"),"{日付確定}","（確定日）"),"{時間確定}","（確定時間）"))</f>
        <v/>
      </c>
      <c r="AG125" s="1" t="str">
        <f>IFERROR(VLOOKUP(DF125,スクリプト_フロー!$A:$F,4,FALSE),"")</f>
        <v/>
      </c>
      <c r="CZ125" s="1" t="str">
        <f t="shared" si="32"/>
        <v>|</v>
      </c>
      <c r="DA125" s="1" t="str">
        <f>IFERROR(VLOOKUP(CZ125,スクリプト_フロー!$A:$F,5,FALSE),"")</f>
        <v/>
      </c>
      <c r="DB125" s="1" t="str">
        <f t="shared" si="33"/>
        <v>|</v>
      </c>
      <c r="DC125" s="1" t="str">
        <f>IFERROR(VLOOKUP(DB125,スクリプト_フロー!$A:$F,5,FALSE),"")</f>
        <v/>
      </c>
      <c r="DD125" s="1" t="str">
        <f t="shared" si="34"/>
        <v>|</v>
      </c>
      <c r="DE125" s="1" t="str">
        <f>IFERROR(VLOOKUP(DD125,スクリプト_フロー!$A:$F,5,FALSE),"")</f>
        <v/>
      </c>
      <c r="DF125" s="1" t="str">
        <f t="shared" si="35"/>
        <v>|</v>
      </c>
      <c r="DG125" s="1" t="str">
        <f>IFERROR(VLOOKUP(DF125,スクリプト_フロー!$A:$F,5,FALSE),"")</f>
        <v/>
      </c>
    </row>
    <row r="126" spans="1:111" ht="21">
      <c r="A126" s="1">
        <v>125</v>
      </c>
      <c r="B126" s="1" t="s">
        <v>338</v>
      </c>
      <c r="C126" s="1" t="s">
        <v>339</v>
      </c>
      <c r="D126" s="1" t="s">
        <v>143</v>
      </c>
      <c r="E126" s="6"/>
      <c r="F126" s="6"/>
      <c r="G126" s="6" t="s">
        <v>34</v>
      </c>
      <c r="H126" s="6"/>
      <c r="I126" s="4" t="str">
        <f>SUBSTITUTE(SUBSTITUTE(SUBSTITUTE(SUBSTITUTE(SUBSTITUTE(SUBSTITUTE(SUBSTITUTE(SUBSTITUTE(SUBSTITUTE(SUBSTITUTE(SUBSTITUTE(Q126,"{会社}",設定!$B$3),"{自分}",設定!$B$4),"{サービス}",設定!$B$5),"{料金}",設定!$B$7),"{日付1}",設定!$B$8),"{日付2}",設定!$B$9),"{時間1}",設定!$B$10),"{時間2}",設定!$B$11),"{時間}","（指定時間）"),"{日付確定}","（確定日）"),"{時間確定}","（確定時間）")</f>
        <v/>
      </c>
      <c r="J126" s="1" t="str">
        <f>IFERROR(VLOOKUP(P126,スクリプト_フロー!$A:$F,4,FALSE),"")</f>
        <v/>
      </c>
      <c r="K126" s="6" t="s">
        <v>35</v>
      </c>
      <c r="L126" s="6"/>
      <c r="M126" s="6"/>
      <c r="N126" s="6"/>
      <c r="O126" s="1"/>
      <c r="P126" s="1" t="str">
        <f t="shared" si="27"/>
        <v>①架電|</v>
      </c>
      <c r="Q126" s="1" t="str">
        <f>IFERROR(VLOOKUP(P126,スクリプト_フロー!$A:$F,5,FALSE),"")</f>
        <v/>
      </c>
      <c r="R126" s="6" t="str">
        <f t="shared" si="28"/>
        <v/>
      </c>
      <c r="S126" s="6"/>
      <c r="T126" s="4" t="str">
        <f>IF(DA126="","",SUBSTITUTE(SUBSTITUTE(SUBSTITUTE(SUBSTITUTE(SUBSTITUTE(SUBSTITUTE(SUBSTITUTE(SUBSTITUTE(SUBSTITUTE(SUBSTITUTE(SUBSTITUTE(DA126,"{会社}",設定!$B$3),"{自分}",設定!$B$4),"{サービス}",設定!$B$5),"{料金}",設定!$B$7),"{日付1}",設定!$B$8),"{日付2}",設定!$B$9),"{時間1}",設定!$B$10),"{時間2}",設定!$B$11),"{時間}","（指定時間）"),"{日付確定}","（確定日）"),"{時間確定}","（確定時間）"))</f>
        <v/>
      </c>
      <c r="U126" s="1" t="str">
        <f>IFERROR(VLOOKUP(CZ126,スクリプト_フロー!$A:$F,4,FALSE),"")</f>
        <v/>
      </c>
      <c r="V126" s="6" t="str">
        <f t="shared" si="29"/>
        <v/>
      </c>
      <c r="W126" s="6"/>
      <c r="X126" s="4" t="str">
        <f>IF(DC126="","",SUBSTITUTE(SUBSTITUTE(SUBSTITUTE(SUBSTITUTE(SUBSTITUTE(SUBSTITUTE(SUBSTITUTE(SUBSTITUTE(SUBSTITUTE(SUBSTITUTE(SUBSTITUTE(DC126,"{会社}",設定!$B$3),"{自分}",設定!$B$4),"{サービス}",設定!$B$5),"{料金}",設定!$B$7),"{日付1}",設定!$B$8),"{日付2}",設定!$B$9),"{時間1}",設定!$B$10),"{時間2}",設定!$B$11),"{時間}","（指定時間）"),"{日付確定}","（確定日）"),"{時間確定}","（確定時間）"))</f>
        <v/>
      </c>
      <c r="Y126" s="1" t="str">
        <f>IFERROR(VLOOKUP(DB126,スクリプト_フロー!$A:$F,4,FALSE),"")</f>
        <v/>
      </c>
      <c r="Z126" s="6" t="str">
        <f t="shared" si="30"/>
        <v/>
      </c>
      <c r="AA126" s="6"/>
      <c r="AB126" s="4" t="str">
        <f>IF(DE126="","",SUBSTITUTE(SUBSTITUTE(SUBSTITUTE(SUBSTITUTE(SUBSTITUTE(SUBSTITUTE(SUBSTITUTE(SUBSTITUTE(SUBSTITUTE(SUBSTITUTE(SUBSTITUTE(DE126,"{会社}",設定!$B$3),"{自分}",設定!$B$4),"{サービス}",設定!$B$5),"{料金}",設定!$B$7),"{日付1}",設定!$B$8),"{日付2}",設定!$B$9),"{時間1}",設定!$B$10),"{時間2}",設定!$B$11),"{時間}","（指定時間）"),"{日付確定}","（確定日）"),"{時間確定}","（確定時間）"))</f>
        <v/>
      </c>
      <c r="AC126" s="1" t="str">
        <f>IFERROR(VLOOKUP(DD126,スクリプト_フロー!$A:$F,4,FALSE),"")</f>
        <v/>
      </c>
      <c r="AD126" s="6" t="str">
        <f t="shared" si="31"/>
        <v/>
      </c>
      <c r="AE126" s="6"/>
      <c r="AF126" s="4" t="str">
        <f>IF(DG126="","",SUBSTITUTE(SUBSTITUTE(SUBSTITUTE(SUBSTITUTE(SUBSTITUTE(SUBSTITUTE(SUBSTITUTE(SUBSTITUTE(SUBSTITUTE(SUBSTITUTE(SUBSTITUTE(DG126,"{会社}",設定!$B$3),"{自分}",設定!$B$4),"{サービス}",設定!$B$5),"{料金}",設定!$B$7),"{日付1}",設定!$B$8),"{日付2}",設定!$B$9),"{時間1}",設定!$B$10),"{時間2}",設定!$B$11),"{時間}","（指定時間）"),"{日付確定}","（確定日）"),"{時間確定}","（確定時間）"))</f>
        <v/>
      </c>
      <c r="AG126" s="1" t="str">
        <f>IFERROR(VLOOKUP(DF126,スクリプト_フロー!$A:$F,4,FALSE),"")</f>
        <v/>
      </c>
      <c r="CZ126" s="1" t="str">
        <f t="shared" si="32"/>
        <v>|</v>
      </c>
      <c r="DA126" s="1" t="str">
        <f>IFERROR(VLOOKUP(CZ126,スクリプト_フロー!$A:$F,5,FALSE),"")</f>
        <v/>
      </c>
      <c r="DB126" s="1" t="str">
        <f t="shared" si="33"/>
        <v>|</v>
      </c>
      <c r="DC126" s="1" t="str">
        <f>IFERROR(VLOOKUP(DB126,スクリプト_フロー!$A:$F,5,FALSE),"")</f>
        <v/>
      </c>
      <c r="DD126" s="1" t="str">
        <f t="shared" si="34"/>
        <v>|</v>
      </c>
      <c r="DE126" s="1" t="str">
        <f>IFERROR(VLOOKUP(DD126,スクリプト_フロー!$A:$F,5,FALSE),"")</f>
        <v/>
      </c>
      <c r="DF126" s="1" t="str">
        <f t="shared" si="35"/>
        <v>|</v>
      </c>
      <c r="DG126" s="1" t="str">
        <f>IFERROR(VLOOKUP(DF126,スクリプト_フロー!$A:$F,5,FALSE),"")</f>
        <v/>
      </c>
    </row>
    <row r="127" spans="1:111" ht="21">
      <c r="A127" s="1">
        <v>126</v>
      </c>
      <c r="B127" s="1" t="s">
        <v>340</v>
      </c>
      <c r="C127" s="1" t="s">
        <v>339</v>
      </c>
      <c r="D127" s="1" t="s">
        <v>143</v>
      </c>
      <c r="E127" s="6"/>
      <c r="F127" s="6"/>
      <c r="G127" s="6" t="s">
        <v>34</v>
      </c>
      <c r="H127" s="6"/>
      <c r="I127" s="4" t="str">
        <f>SUBSTITUTE(SUBSTITUTE(SUBSTITUTE(SUBSTITUTE(SUBSTITUTE(SUBSTITUTE(SUBSTITUTE(SUBSTITUTE(SUBSTITUTE(SUBSTITUTE(SUBSTITUTE(Q127,"{会社}",設定!$B$3),"{自分}",設定!$B$4),"{サービス}",設定!$B$5),"{料金}",設定!$B$7),"{日付1}",設定!$B$8),"{日付2}",設定!$B$9),"{時間1}",設定!$B$10),"{時間2}",設定!$B$11),"{時間}","（指定時間）"),"{日付確定}","（確定日）"),"{時間確定}","（確定時間）")</f>
        <v/>
      </c>
      <c r="J127" s="1" t="str">
        <f>IFERROR(VLOOKUP(P127,スクリプト_フロー!$A:$F,4,FALSE),"")</f>
        <v/>
      </c>
      <c r="K127" s="6" t="s">
        <v>35</v>
      </c>
      <c r="L127" s="6"/>
      <c r="M127" s="6"/>
      <c r="N127" s="6"/>
      <c r="O127" s="1"/>
      <c r="P127" s="1" t="str">
        <f t="shared" si="27"/>
        <v>①架電|</v>
      </c>
      <c r="Q127" s="1" t="str">
        <f>IFERROR(VLOOKUP(P127,スクリプト_フロー!$A:$F,5,FALSE),"")</f>
        <v/>
      </c>
      <c r="R127" s="6" t="str">
        <f t="shared" si="28"/>
        <v/>
      </c>
      <c r="S127" s="6"/>
      <c r="T127" s="4" t="str">
        <f>IF(DA127="","",SUBSTITUTE(SUBSTITUTE(SUBSTITUTE(SUBSTITUTE(SUBSTITUTE(SUBSTITUTE(SUBSTITUTE(SUBSTITUTE(SUBSTITUTE(SUBSTITUTE(SUBSTITUTE(DA127,"{会社}",設定!$B$3),"{自分}",設定!$B$4),"{サービス}",設定!$B$5),"{料金}",設定!$B$7),"{日付1}",設定!$B$8),"{日付2}",設定!$B$9),"{時間1}",設定!$B$10),"{時間2}",設定!$B$11),"{時間}","（指定時間）"),"{日付確定}","（確定日）"),"{時間確定}","（確定時間）"))</f>
        <v/>
      </c>
      <c r="U127" s="1" t="str">
        <f>IFERROR(VLOOKUP(CZ127,スクリプト_フロー!$A:$F,4,FALSE),"")</f>
        <v/>
      </c>
      <c r="V127" s="6" t="str">
        <f t="shared" si="29"/>
        <v/>
      </c>
      <c r="W127" s="6"/>
      <c r="X127" s="4" t="str">
        <f>IF(DC127="","",SUBSTITUTE(SUBSTITUTE(SUBSTITUTE(SUBSTITUTE(SUBSTITUTE(SUBSTITUTE(SUBSTITUTE(SUBSTITUTE(SUBSTITUTE(SUBSTITUTE(SUBSTITUTE(DC127,"{会社}",設定!$B$3),"{自分}",設定!$B$4),"{サービス}",設定!$B$5),"{料金}",設定!$B$7),"{日付1}",設定!$B$8),"{日付2}",設定!$B$9),"{時間1}",設定!$B$10),"{時間2}",設定!$B$11),"{時間}","（指定時間）"),"{日付確定}","（確定日）"),"{時間確定}","（確定時間）"))</f>
        <v/>
      </c>
      <c r="Y127" s="1" t="str">
        <f>IFERROR(VLOOKUP(DB127,スクリプト_フロー!$A:$F,4,FALSE),"")</f>
        <v/>
      </c>
      <c r="Z127" s="6" t="str">
        <f t="shared" si="30"/>
        <v/>
      </c>
      <c r="AA127" s="6"/>
      <c r="AB127" s="4" t="str">
        <f>IF(DE127="","",SUBSTITUTE(SUBSTITUTE(SUBSTITUTE(SUBSTITUTE(SUBSTITUTE(SUBSTITUTE(SUBSTITUTE(SUBSTITUTE(SUBSTITUTE(SUBSTITUTE(SUBSTITUTE(DE127,"{会社}",設定!$B$3),"{自分}",設定!$B$4),"{サービス}",設定!$B$5),"{料金}",設定!$B$7),"{日付1}",設定!$B$8),"{日付2}",設定!$B$9),"{時間1}",設定!$B$10),"{時間2}",設定!$B$11),"{時間}","（指定時間）"),"{日付確定}","（確定日）"),"{時間確定}","（確定時間）"))</f>
        <v/>
      </c>
      <c r="AC127" s="1" t="str">
        <f>IFERROR(VLOOKUP(DD127,スクリプト_フロー!$A:$F,4,FALSE),"")</f>
        <v/>
      </c>
      <c r="AD127" s="6" t="str">
        <f t="shared" si="31"/>
        <v/>
      </c>
      <c r="AE127" s="6"/>
      <c r="AF127" s="4" t="str">
        <f>IF(DG127="","",SUBSTITUTE(SUBSTITUTE(SUBSTITUTE(SUBSTITUTE(SUBSTITUTE(SUBSTITUTE(SUBSTITUTE(SUBSTITUTE(SUBSTITUTE(SUBSTITUTE(SUBSTITUTE(DG127,"{会社}",設定!$B$3),"{自分}",設定!$B$4),"{サービス}",設定!$B$5),"{料金}",設定!$B$7),"{日付1}",設定!$B$8),"{日付2}",設定!$B$9),"{時間1}",設定!$B$10),"{時間2}",設定!$B$11),"{時間}","（指定時間）"),"{日付確定}","（確定日）"),"{時間確定}","（確定時間）"))</f>
        <v/>
      </c>
      <c r="AG127" s="1" t="str">
        <f>IFERROR(VLOOKUP(DF127,スクリプト_フロー!$A:$F,4,FALSE),"")</f>
        <v/>
      </c>
      <c r="CZ127" s="1" t="str">
        <f t="shared" si="32"/>
        <v>|</v>
      </c>
      <c r="DA127" s="1" t="str">
        <f>IFERROR(VLOOKUP(CZ127,スクリプト_フロー!$A:$F,5,FALSE),"")</f>
        <v/>
      </c>
      <c r="DB127" s="1" t="str">
        <f t="shared" si="33"/>
        <v>|</v>
      </c>
      <c r="DC127" s="1" t="str">
        <f>IFERROR(VLOOKUP(DB127,スクリプト_フロー!$A:$F,5,FALSE),"")</f>
        <v/>
      </c>
      <c r="DD127" s="1" t="str">
        <f t="shared" si="34"/>
        <v>|</v>
      </c>
      <c r="DE127" s="1" t="str">
        <f>IFERROR(VLOOKUP(DD127,スクリプト_フロー!$A:$F,5,FALSE),"")</f>
        <v/>
      </c>
      <c r="DF127" s="1" t="str">
        <f t="shared" si="35"/>
        <v>|</v>
      </c>
      <c r="DG127" s="1" t="str">
        <f>IFERROR(VLOOKUP(DF127,スクリプト_フロー!$A:$F,5,FALSE),"")</f>
        <v/>
      </c>
    </row>
    <row r="128" spans="1:111" ht="21">
      <c r="A128" s="1">
        <v>127</v>
      </c>
      <c r="B128" s="1" t="s">
        <v>341</v>
      </c>
      <c r="C128" s="1" t="s">
        <v>130</v>
      </c>
      <c r="D128" s="1" t="s">
        <v>143</v>
      </c>
      <c r="E128" s="6"/>
      <c r="F128" s="6"/>
      <c r="G128" s="6" t="s">
        <v>34</v>
      </c>
      <c r="H128" s="6"/>
      <c r="I128" s="4" t="str">
        <f>SUBSTITUTE(SUBSTITUTE(SUBSTITUTE(SUBSTITUTE(SUBSTITUTE(SUBSTITUTE(SUBSTITUTE(SUBSTITUTE(SUBSTITUTE(SUBSTITUTE(SUBSTITUTE(Q128,"{会社}",設定!$B$3),"{自分}",設定!$B$4),"{サービス}",設定!$B$5),"{料金}",設定!$B$7),"{日付1}",設定!$B$8),"{日付2}",設定!$B$9),"{時間1}",設定!$B$10),"{時間2}",設定!$B$11),"{時間}","（指定時間）"),"{日付確定}","（確定日）"),"{時間確定}","（確定時間）")</f>
        <v/>
      </c>
      <c r="J128" s="1" t="str">
        <f>IFERROR(VLOOKUP(P128,スクリプト_フロー!$A:$F,4,FALSE),"")</f>
        <v/>
      </c>
      <c r="K128" s="6" t="s">
        <v>35</v>
      </c>
      <c r="L128" s="6"/>
      <c r="M128" s="6"/>
      <c r="N128" s="6"/>
      <c r="O128" s="1"/>
      <c r="P128" s="1" t="str">
        <f t="shared" si="27"/>
        <v>①架電|</v>
      </c>
      <c r="Q128" s="1" t="str">
        <f>IFERROR(VLOOKUP(P128,スクリプト_フロー!$A:$F,5,FALSE),"")</f>
        <v/>
      </c>
      <c r="R128" s="6" t="str">
        <f t="shared" si="28"/>
        <v/>
      </c>
      <c r="S128" s="6"/>
      <c r="T128" s="4" t="str">
        <f>IF(DA128="","",SUBSTITUTE(SUBSTITUTE(SUBSTITUTE(SUBSTITUTE(SUBSTITUTE(SUBSTITUTE(SUBSTITUTE(SUBSTITUTE(SUBSTITUTE(SUBSTITUTE(SUBSTITUTE(DA128,"{会社}",設定!$B$3),"{自分}",設定!$B$4),"{サービス}",設定!$B$5),"{料金}",設定!$B$7),"{日付1}",設定!$B$8),"{日付2}",設定!$B$9),"{時間1}",設定!$B$10),"{時間2}",設定!$B$11),"{時間}","（指定時間）"),"{日付確定}","（確定日）"),"{時間確定}","（確定時間）"))</f>
        <v/>
      </c>
      <c r="U128" s="1" t="str">
        <f>IFERROR(VLOOKUP(CZ128,スクリプト_フロー!$A:$F,4,FALSE),"")</f>
        <v/>
      </c>
      <c r="V128" s="6" t="str">
        <f t="shared" si="29"/>
        <v/>
      </c>
      <c r="W128" s="6"/>
      <c r="X128" s="4" t="str">
        <f>IF(DC128="","",SUBSTITUTE(SUBSTITUTE(SUBSTITUTE(SUBSTITUTE(SUBSTITUTE(SUBSTITUTE(SUBSTITUTE(SUBSTITUTE(SUBSTITUTE(SUBSTITUTE(SUBSTITUTE(DC128,"{会社}",設定!$B$3),"{自分}",設定!$B$4),"{サービス}",設定!$B$5),"{料金}",設定!$B$7),"{日付1}",設定!$B$8),"{日付2}",設定!$B$9),"{時間1}",設定!$B$10),"{時間2}",設定!$B$11),"{時間}","（指定時間）"),"{日付確定}","（確定日）"),"{時間確定}","（確定時間）"))</f>
        <v/>
      </c>
      <c r="Y128" s="1" t="str">
        <f>IFERROR(VLOOKUP(DB128,スクリプト_フロー!$A:$F,4,FALSE),"")</f>
        <v/>
      </c>
      <c r="Z128" s="6" t="str">
        <f t="shared" si="30"/>
        <v/>
      </c>
      <c r="AA128" s="6"/>
      <c r="AB128" s="4" t="str">
        <f>IF(DE128="","",SUBSTITUTE(SUBSTITUTE(SUBSTITUTE(SUBSTITUTE(SUBSTITUTE(SUBSTITUTE(SUBSTITUTE(SUBSTITUTE(SUBSTITUTE(SUBSTITUTE(SUBSTITUTE(DE128,"{会社}",設定!$B$3),"{自分}",設定!$B$4),"{サービス}",設定!$B$5),"{料金}",設定!$B$7),"{日付1}",設定!$B$8),"{日付2}",設定!$B$9),"{時間1}",設定!$B$10),"{時間2}",設定!$B$11),"{時間}","（指定時間）"),"{日付確定}","（確定日）"),"{時間確定}","（確定時間）"))</f>
        <v/>
      </c>
      <c r="AC128" s="1" t="str">
        <f>IFERROR(VLOOKUP(DD128,スクリプト_フロー!$A:$F,4,FALSE),"")</f>
        <v/>
      </c>
      <c r="AD128" s="6" t="str">
        <f t="shared" si="31"/>
        <v/>
      </c>
      <c r="AE128" s="6"/>
      <c r="AF128" s="4" t="str">
        <f>IF(DG128="","",SUBSTITUTE(SUBSTITUTE(SUBSTITUTE(SUBSTITUTE(SUBSTITUTE(SUBSTITUTE(SUBSTITUTE(SUBSTITUTE(SUBSTITUTE(SUBSTITUTE(SUBSTITUTE(DG128,"{会社}",設定!$B$3),"{自分}",設定!$B$4),"{サービス}",設定!$B$5),"{料金}",設定!$B$7),"{日付1}",設定!$B$8),"{日付2}",設定!$B$9),"{時間1}",設定!$B$10),"{時間2}",設定!$B$11),"{時間}","（指定時間）"),"{日付確定}","（確定日）"),"{時間確定}","（確定時間）"))</f>
        <v/>
      </c>
      <c r="AG128" s="1" t="str">
        <f>IFERROR(VLOOKUP(DF128,スクリプト_フロー!$A:$F,4,FALSE),"")</f>
        <v/>
      </c>
      <c r="CZ128" s="1" t="str">
        <f t="shared" si="32"/>
        <v>|</v>
      </c>
      <c r="DA128" s="1" t="str">
        <f>IFERROR(VLOOKUP(CZ128,スクリプト_フロー!$A:$F,5,FALSE),"")</f>
        <v/>
      </c>
      <c r="DB128" s="1" t="str">
        <f t="shared" si="33"/>
        <v>|</v>
      </c>
      <c r="DC128" s="1" t="str">
        <f>IFERROR(VLOOKUP(DB128,スクリプト_フロー!$A:$F,5,FALSE),"")</f>
        <v/>
      </c>
      <c r="DD128" s="1" t="str">
        <f t="shared" si="34"/>
        <v>|</v>
      </c>
      <c r="DE128" s="1" t="str">
        <f>IFERROR(VLOOKUP(DD128,スクリプト_フロー!$A:$F,5,FALSE),"")</f>
        <v/>
      </c>
      <c r="DF128" s="1" t="str">
        <f t="shared" si="35"/>
        <v>|</v>
      </c>
      <c r="DG128" s="1" t="str">
        <f>IFERROR(VLOOKUP(DF128,スクリプト_フロー!$A:$F,5,FALSE),"")</f>
        <v/>
      </c>
    </row>
    <row r="129" spans="1:111" ht="21">
      <c r="A129" s="1">
        <v>128</v>
      </c>
      <c r="B129" s="1" t="s">
        <v>342</v>
      </c>
      <c r="C129" s="1" t="s">
        <v>183</v>
      </c>
      <c r="D129" s="1" t="s">
        <v>44</v>
      </c>
      <c r="E129" s="6"/>
      <c r="F129" s="6"/>
      <c r="G129" s="6" t="s">
        <v>34</v>
      </c>
      <c r="H129" s="6"/>
      <c r="I129" s="4" t="str">
        <f>SUBSTITUTE(SUBSTITUTE(SUBSTITUTE(SUBSTITUTE(SUBSTITUTE(SUBSTITUTE(SUBSTITUTE(SUBSTITUTE(SUBSTITUTE(SUBSTITUTE(SUBSTITUTE(Q129,"{会社}",設定!$B$3),"{自分}",設定!$B$4),"{サービス}",設定!$B$5),"{料金}",設定!$B$7),"{日付1}",設定!$B$8),"{日付2}",設定!$B$9),"{時間1}",設定!$B$10),"{時間2}",設定!$B$11),"{時間}","（指定時間）"),"{日付確定}","（確定日）"),"{時間確定}","（確定時間）")</f>
        <v/>
      </c>
      <c r="J129" s="1" t="str">
        <f>IFERROR(VLOOKUP(P129,スクリプト_フロー!$A:$F,4,FALSE),"")</f>
        <v/>
      </c>
      <c r="K129" s="6" t="s">
        <v>35</v>
      </c>
      <c r="L129" s="6"/>
      <c r="M129" s="6"/>
      <c r="N129" s="6"/>
      <c r="O129" s="1"/>
      <c r="P129" s="1" t="str">
        <f t="shared" si="27"/>
        <v>①架電|</v>
      </c>
      <c r="Q129" s="1" t="str">
        <f>IFERROR(VLOOKUP(P129,スクリプト_フロー!$A:$F,5,FALSE),"")</f>
        <v/>
      </c>
      <c r="R129" s="6" t="str">
        <f t="shared" si="28"/>
        <v/>
      </c>
      <c r="S129" s="6"/>
      <c r="T129" s="4" t="str">
        <f>IF(DA129="","",SUBSTITUTE(SUBSTITUTE(SUBSTITUTE(SUBSTITUTE(SUBSTITUTE(SUBSTITUTE(SUBSTITUTE(SUBSTITUTE(SUBSTITUTE(SUBSTITUTE(SUBSTITUTE(DA129,"{会社}",設定!$B$3),"{自分}",設定!$B$4),"{サービス}",設定!$B$5),"{料金}",設定!$B$7),"{日付1}",設定!$B$8),"{日付2}",設定!$B$9),"{時間1}",設定!$B$10),"{時間2}",設定!$B$11),"{時間}","（指定時間）"),"{日付確定}","（確定日）"),"{時間確定}","（確定時間）"))</f>
        <v/>
      </c>
      <c r="U129" s="1" t="str">
        <f>IFERROR(VLOOKUP(CZ129,スクリプト_フロー!$A:$F,4,FALSE),"")</f>
        <v/>
      </c>
      <c r="V129" s="6" t="str">
        <f t="shared" si="29"/>
        <v/>
      </c>
      <c r="W129" s="6"/>
      <c r="X129" s="4" t="str">
        <f>IF(DC129="","",SUBSTITUTE(SUBSTITUTE(SUBSTITUTE(SUBSTITUTE(SUBSTITUTE(SUBSTITUTE(SUBSTITUTE(SUBSTITUTE(SUBSTITUTE(SUBSTITUTE(SUBSTITUTE(DC129,"{会社}",設定!$B$3),"{自分}",設定!$B$4),"{サービス}",設定!$B$5),"{料金}",設定!$B$7),"{日付1}",設定!$B$8),"{日付2}",設定!$B$9),"{時間1}",設定!$B$10),"{時間2}",設定!$B$11),"{時間}","（指定時間）"),"{日付確定}","（確定日）"),"{時間確定}","（確定時間）"))</f>
        <v/>
      </c>
      <c r="Y129" s="1" t="str">
        <f>IFERROR(VLOOKUP(DB129,スクリプト_フロー!$A:$F,4,FALSE),"")</f>
        <v/>
      </c>
      <c r="Z129" s="6" t="str">
        <f t="shared" si="30"/>
        <v/>
      </c>
      <c r="AA129" s="6"/>
      <c r="AB129" s="4" t="str">
        <f>IF(DE129="","",SUBSTITUTE(SUBSTITUTE(SUBSTITUTE(SUBSTITUTE(SUBSTITUTE(SUBSTITUTE(SUBSTITUTE(SUBSTITUTE(SUBSTITUTE(SUBSTITUTE(SUBSTITUTE(DE129,"{会社}",設定!$B$3),"{自分}",設定!$B$4),"{サービス}",設定!$B$5),"{料金}",設定!$B$7),"{日付1}",設定!$B$8),"{日付2}",設定!$B$9),"{時間1}",設定!$B$10),"{時間2}",設定!$B$11),"{時間}","（指定時間）"),"{日付確定}","（確定日）"),"{時間確定}","（確定時間）"))</f>
        <v/>
      </c>
      <c r="AC129" s="1" t="str">
        <f>IFERROR(VLOOKUP(DD129,スクリプト_フロー!$A:$F,4,FALSE),"")</f>
        <v/>
      </c>
      <c r="AD129" s="6" t="str">
        <f t="shared" si="31"/>
        <v/>
      </c>
      <c r="AE129" s="6"/>
      <c r="AF129" s="4" t="str">
        <f>IF(DG129="","",SUBSTITUTE(SUBSTITUTE(SUBSTITUTE(SUBSTITUTE(SUBSTITUTE(SUBSTITUTE(SUBSTITUTE(SUBSTITUTE(SUBSTITUTE(SUBSTITUTE(SUBSTITUTE(DG129,"{会社}",設定!$B$3),"{自分}",設定!$B$4),"{サービス}",設定!$B$5),"{料金}",設定!$B$7),"{日付1}",設定!$B$8),"{日付2}",設定!$B$9),"{時間1}",設定!$B$10),"{時間2}",設定!$B$11),"{時間}","（指定時間）"),"{日付確定}","（確定日）"),"{時間確定}","（確定時間）"))</f>
        <v/>
      </c>
      <c r="AG129" s="1" t="str">
        <f>IFERROR(VLOOKUP(DF129,スクリプト_フロー!$A:$F,4,FALSE),"")</f>
        <v/>
      </c>
      <c r="CZ129" s="1" t="str">
        <f t="shared" si="32"/>
        <v>|</v>
      </c>
      <c r="DA129" s="1" t="str">
        <f>IFERROR(VLOOKUP(CZ129,スクリプト_フロー!$A:$F,5,FALSE),"")</f>
        <v/>
      </c>
      <c r="DB129" s="1" t="str">
        <f t="shared" si="33"/>
        <v>|</v>
      </c>
      <c r="DC129" s="1" t="str">
        <f>IFERROR(VLOOKUP(DB129,スクリプト_フロー!$A:$F,5,FALSE),"")</f>
        <v/>
      </c>
      <c r="DD129" s="1" t="str">
        <f t="shared" si="34"/>
        <v>|</v>
      </c>
      <c r="DE129" s="1" t="str">
        <f>IFERROR(VLOOKUP(DD129,スクリプト_フロー!$A:$F,5,FALSE),"")</f>
        <v/>
      </c>
      <c r="DF129" s="1" t="str">
        <f t="shared" si="35"/>
        <v>|</v>
      </c>
      <c r="DG129" s="1" t="str">
        <f>IFERROR(VLOOKUP(DF129,スクリプト_フロー!$A:$F,5,FALSE),"")</f>
        <v/>
      </c>
    </row>
    <row r="130" spans="1:111" ht="21">
      <c r="A130" s="1">
        <v>129</v>
      </c>
      <c r="B130" s="1" t="s">
        <v>343</v>
      </c>
      <c r="C130" s="1" t="s">
        <v>344</v>
      </c>
      <c r="D130" s="1" t="s">
        <v>143</v>
      </c>
      <c r="E130" s="6"/>
      <c r="F130" s="6"/>
      <c r="G130" s="6" t="s">
        <v>34</v>
      </c>
      <c r="H130" s="6"/>
      <c r="I130" s="4" t="str">
        <f>SUBSTITUTE(SUBSTITUTE(SUBSTITUTE(SUBSTITUTE(SUBSTITUTE(SUBSTITUTE(SUBSTITUTE(SUBSTITUTE(SUBSTITUTE(SUBSTITUTE(SUBSTITUTE(Q130,"{会社}",設定!$B$3),"{自分}",設定!$B$4),"{サービス}",設定!$B$5),"{料金}",設定!$B$7),"{日付1}",設定!$B$8),"{日付2}",設定!$B$9),"{時間1}",設定!$B$10),"{時間2}",設定!$B$11),"{時間}","（指定時間）"),"{日付確定}","（確定日）"),"{時間確定}","（確定時間）")</f>
        <v/>
      </c>
      <c r="J130" s="1" t="str">
        <f>IFERROR(VLOOKUP(P130,スクリプト_フロー!$A:$F,4,FALSE),"")</f>
        <v/>
      </c>
      <c r="K130" s="6" t="s">
        <v>35</v>
      </c>
      <c r="L130" s="6"/>
      <c r="M130" s="6"/>
      <c r="N130" s="6"/>
      <c r="O130" s="1"/>
      <c r="P130" s="1" t="str">
        <f t="shared" ref="P130:P150" si="36">G130&amp;"|"&amp;H130</f>
        <v>①架電|</v>
      </c>
      <c r="Q130" s="1" t="str">
        <f>IFERROR(VLOOKUP(P130,スクリプト_フロー!$A:$F,5,FALSE),"")</f>
        <v/>
      </c>
      <c r="R130" s="6" t="str">
        <f t="shared" ref="R130:R150" si="37">IF(J130="","",J130)</f>
        <v/>
      </c>
      <c r="S130" s="6"/>
      <c r="T130" s="4" t="str">
        <f>IF(DA130="","",SUBSTITUTE(SUBSTITUTE(SUBSTITUTE(SUBSTITUTE(SUBSTITUTE(SUBSTITUTE(SUBSTITUTE(SUBSTITUTE(SUBSTITUTE(SUBSTITUTE(SUBSTITUTE(DA130,"{会社}",設定!$B$3),"{自分}",設定!$B$4),"{サービス}",設定!$B$5),"{料金}",設定!$B$7),"{日付1}",設定!$B$8),"{日付2}",設定!$B$9),"{時間1}",設定!$B$10),"{時間2}",設定!$B$11),"{時間}","（指定時間）"),"{日付確定}","（確定日）"),"{時間確定}","（確定時間）"))</f>
        <v/>
      </c>
      <c r="U130" s="1" t="str">
        <f>IFERROR(VLOOKUP(CZ130,スクリプト_フロー!$A:$F,4,FALSE),"")</f>
        <v/>
      </c>
      <c r="V130" s="6" t="str">
        <f t="shared" ref="V130:V150" si="38">IF(U130="","",U130)</f>
        <v/>
      </c>
      <c r="W130" s="6"/>
      <c r="X130" s="4" t="str">
        <f>IF(DC130="","",SUBSTITUTE(SUBSTITUTE(SUBSTITUTE(SUBSTITUTE(SUBSTITUTE(SUBSTITUTE(SUBSTITUTE(SUBSTITUTE(SUBSTITUTE(SUBSTITUTE(SUBSTITUTE(DC130,"{会社}",設定!$B$3),"{自分}",設定!$B$4),"{サービス}",設定!$B$5),"{料金}",設定!$B$7),"{日付1}",設定!$B$8),"{日付2}",設定!$B$9),"{時間1}",設定!$B$10),"{時間2}",設定!$B$11),"{時間}","（指定時間）"),"{日付確定}","（確定日）"),"{時間確定}","（確定時間）"))</f>
        <v/>
      </c>
      <c r="Y130" s="1" t="str">
        <f>IFERROR(VLOOKUP(DB130,スクリプト_フロー!$A:$F,4,FALSE),"")</f>
        <v/>
      </c>
      <c r="Z130" s="6" t="str">
        <f t="shared" ref="Z130:Z150" si="39">IF(Y130="","",Y130)</f>
        <v/>
      </c>
      <c r="AA130" s="6"/>
      <c r="AB130" s="4" t="str">
        <f>IF(DE130="","",SUBSTITUTE(SUBSTITUTE(SUBSTITUTE(SUBSTITUTE(SUBSTITUTE(SUBSTITUTE(SUBSTITUTE(SUBSTITUTE(SUBSTITUTE(SUBSTITUTE(SUBSTITUTE(DE130,"{会社}",設定!$B$3),"{自分}",設定!$B$4),"{サービス}",設定!$B$5),"{料金}",設定!$B$7),"{日付1}",設定!$B$8),"{日付2}",設定!$B$9),"{時間1}",設定!$B$10),"{時間2}",設定!$B$11),"{時間}","（指定時間）"),"{日付確定}","（確定日）"),"{時間確定}","（確定時間）"))</f>
        <v/>
      </c>
      <c r="AC130" s="1" t="str">
        <f>IFERROR(VLOOKUP(DD130,スクリプト_フロー!$A:$F,4,FALSE),"")</f>
        <v/>
      </c>
      <c r="AD130" s="6" t="str">
        <f t="shared" ref="AD130:AD150" si="40">IF(AC130="","",AC130)</f>
        <v/>
      </c>
      <c r="AE130" s="6"/>
      <c r="AF130" s="4" t="str">
        <f>IF(DG130="","",SUBSTITUTE(SUBSTITUTE(SUBSTITUTE(SUBSTITUTE(SUBSTITUTE(SUBSTITUTE(SUBSTITUTE(SUBSTITUTE(SUBSTITUTE(SUBSTITUTE(SUBSTITUTE(DG130,"{会社}",設定!$B$3),"{自分}",設定!$B$4),"{サービス}",設定!$B$5),"{料金}",設定!$B$7),"{日付1}",設定!$B$8),"{日付2}",設定!$B$9),"{時間1}",設定!$B$10),"{時間2}",設定!$B$11),"{時間}","（指定時間）"),"{日付確定}","（確定日）"),"{時間確定}","（確定時間）"))</f>
        <v/>
      </c>
      <c r="AG130" s="1" t="str">
        <f>IFERROR(VLOOKUP(DF130,スクリプト_フロー!$A:$F,4,FALSE),"")</f>
        <v/>
      </c>
      <c r="CZ130" s="1" t="str">
        <f t="shared" ref="CZ130:CZ150" si="41">R130&amp;"|"&amp;S130</f>
        <v>|</v>
      </c>
      <c r="DA130" s="1" t="str">
        <f>IFERROR(VLOOKUP(CZ130,スクリプト_フロー!$A:$F,5,FALSE),"")</f>
        <v/>
      </c>
      <c r="DB130" s="1" t="str">
        <f t="shared" ref="DB130:DB150" si="42">V130&amp;"|"&amp;W130</f>
        <v>|</v>
      </c>
      <c r="DC130" s="1" t="str">
        <f>IFERROR(VLOOKUP(DB130,スクリプト_フロー!$A:$F,5,FALSE),"")</f>
        <v/>
      </c>
      <c r="DD130" s="1" t="str">
        <f t="shared" ref="DD130:DD150" si="43">Z130&amp;"|"&amp;AA130</f>
        <v>|</v>
      </c>
      <c r="DE130" s="1" t="str">
        <f>IFERROR(VLOOKUP(DD130,スクリプト_フロー!$A:$F,5,FALSE),"")</f>
        <v/>
      </c>
      <c r="DF130" s="1" t="str">
        <f t="shared" ref="DF130:DF150" si="44">AD130&amp;"|"&amp;AE130</f>
        <v>|</v>
      </c>
      <c r="DG130" s="1" t="str">
        <f>IFERROR(VLOOKUP(DF130,スクリプト_フロー!$A:$F,5,FALSE),"")</f>
        <v/>
      </c>
    </row>
    <row r="131" spans="1:111" ht="21">
      <c r="A131" s="1">
        <v>130</v>
      </c>
      <c r="B131" s="1" t="s">
        <v>345</v>
      </c>
      <c r="C131" s="1" t="s">
        <v>346</v>
      </c>
      <c r="D131" s="1" t="s">
        <v>44</v>
      </c>
      <c r="E131" s="6"/>
      <c r="F131" s="6"/>
      <c r="G131" s="6" t="s">
        <v>34</v>
      </c>
      <c r="H131" s="6"/>
      <c r="I131" s="4" t="str">
        <f>SUBSTITUTE(SUBSTITUTE(SUBSTITUTE(SUBSTITUTE(SUBSTITUTE(SUBSTITUTE(SUBSTITUTE(SUBSTITUTE(SUBSTITUTE(SUBSTITUTE(SUBSTITUTE(Q131,"{会社}",設定!$B$3),"{自分}",設定!$B$4),"{サービス}",設定!$B$5),"{料金}",設定!$B$7),"{日付1}",設定!$B$8),"{日付2}",設定!$B$9),"{時間1}",設定!$B$10),"{時間2}",設定!$B$11),"{時間}","（指定時間）"),"{日付確定}","（確定日）"),"{時間確定}","（確定時間）")</f>
        <v/>
      </c>
      <c r="J131" s="1" t="str">
        <f>IFERROR(VLOOKUP(P131,スクリプト_フロー!$A:$F,4,FALSE),"")</f>
        <v/>
      </c>
      <c r="K131" s="6" t="s">
        <v>35</v>
      </c>
      <c r="L131" s="6"/>
      <c r="M131" s="6"/>
      <c r="N131" s="6"/>
      <c r="O131" s="1"/>
      <c r="P131" s="1" t="str">
        <f t="shared" si="36"/>
        <v>①架電|</v>
      </c>
      <c r="Q131" s="1" t="str">
        <f>IFERROR(VLOOKUP(P131,スクリプト_フロー!$A:$F,5,FALSE),"")</f>
        <v/>
      </c>
      <c r="R131" s="6" t="str">
        <f t="shared" si="37"/>
        <v/>
      </c>
      <c r="S131" s="6"/>
      <c r="T131" s="4" t="str">
        <f>IF(DA131="","",SUBSTITUTE(SUBSTITUTE(SUBSTITUTE(SUBSTITUTE(SUBSTITUTE(SUBSTITUTE(SUBSTITUTE(SUBSTITUTE(SUBSTITUTE(SUBSTITUTE(SUBSTITUTE(DA131,"{会社}",設定!$B$3),"{自分}",設定!$B$4),"{サービス}",設定!$B$5),"{料金}",設定!$B$7),"{日付1}",設定!$B$8),"{日付2}",設定!$B$9),"{時間1}",設定!$B$10),"{時間2}",設定!$B$11),"{時間}","（指定時間）"),"{日付確定}","（確定日）"),"{時間確定}","（確定時間）"))</f>
        <v/>
      </c>
      <c r="U131" s="1" t="str">
        <f>IFERROR(VLOOKUP(CZ131,スクリプト_フロー!$A:$F,4,FALSE),"")</f>
        <v/>
      </c>
      <c r="V131" s="6" t="str">
        <f t="shared" si="38"/>
        <v/>
      </c>
      <c r="W131" s="6"/>
      <c r="X131" s="4" t="str">
        <f>IF(DC131="","",SUBSTITUTE(SUBSTITUTE(SUBSTITUTE(SUBSTITUTE(SUBSTITUTE(SUBSTITUTE(SUBSTITUTE(SUBSTITUTE(SUBSTITUTE(SUBSTITUTE(SUBSTITUTE(DC131,"{会社}",設定!$B$3),"{自分}",設定!$B$4),"{サービス}",設定!$B$5),"{料金}",設定!$B$7),"{日付1}",設定!$B$8),"{日付2}",設定!$B$9),"{時間1}",設定!$B$10),"{時間2}",設定!$B$11),"{時間}","（指定時間）"),"{日付確定}","（確定日）"),"{時間確定}","（確定時間）"))</f>
        <v/>
      </c>
      <c r="Y131" s="1" t="str">
        <f>IFERROR(VLOOKUP(DB131,スクリプト_フロー!$A:$F,4,FALSE),"")</f>
        <v/>
      </c>
      <c r="Z131" s="6" t="str">
        <f t="shared" si="39"/>
        <v/>
      </c>
      <c r="AA131" s="6"/>
      <c r="AB131" s="4" t="str">
        <f>IF(DE131="","",SUBSTITUTE(SUBSTITUTE(SUBSTITUTE(SUBSTITUTE(SUBSTITUTE(SUBSTITUTE(SUBSTITUTE(SUBSTITUTE(SUBSTITUTE(SUBSTITUTE(SUBSTITUTE(DE131,"{会社}",設定!$B$3),"{自分}",設定!$B$4),"{サービス}",設定!$B$5),"{料金}",設定!$B$7),"{日付1}",設定!$B$8),"{日付2}",設定!$B$9),"{時間1}",設定!$B$10),"{時間2}",設定!$B$11),"{時間}","（指定時間）"),"{日付確定}","（確定日）"),"{時間確定}","（確定時間）"))</f>
        <v/>
      </c>
      <c r="AC131" s="1" t="str">
        <f>IFERROR(VLOOKUP(DD131,スクリプト_フロー!$A:$F,4,FALSE),"")</f>
        <v/>
      </c>
      <c r="AD131" s="6" t="str">
        <f t="shared" si="40"/>
        <v/>
      </c>
      <c r="AE131" s="6"/>
      <c r="AF131" s="4" t="str">
        <f>IF(DG131="","",SUBSTITUTE(SUBSTITUTE(SUBSTITUTE(SUBSTITUTE(SUBSTITUTE(SUBSTITUTE(SUBSTITUTE(SUBSTITUTE(SUBSTITUTE(SUBSTITUTE(SUBSTITUTE(DG131,"{会社}",設定!$B$3),"{自分}",設定!$B$4),"{サービス}",設定!$B$5),"{料金}",設定!$B$7),"{日付1}",設定!$B$8),"{日付2}",設定!$B$9),"{時間1}",設定!$B$10),"{時間2}",設定!$B$11),"{時間}","（指定時間）"),"{日付確定}","（確定日）"),"{時間確定}","（確定時間）"))</f>
        <v/>
      </c>
      <c r="AG131" s="1" t="str">
        <f>IFERROR(VLOOKUP(DF131,スクリプト_フロー!$A:$F,4,FALSE),"")</f>
        <v/>
      </c>
      <c r="CZ131" s="1" t="str">
        <f t="shared" si="41"/>
        <v>|</v>
      </c>
      <c r="DA131" s="1" t="str">
        <f>IFERROR(VLOOKUP(CZ131,スクリプト_フロー!$A:$F,5,FALSE),"")</f>
        <v/>
      </c>
      <c r="DB131" s="1" t="str">
        <f t="shared" si="42"/>
        <v>|</v>
      </c>
      <c r="DC131" s="1" t="str">
        <f>IFERROR(VLOOKUP(DB131,スクリプト_フロー!$A:$F,5,FALSE),"")</f>
        <v/>
      </c>
      <c r="DD131" s="1" t="str">
        <f t="shared" si="43"/>
        <v>|</v>
      </c>
      <c r="DE131" s="1" t="str">
        <f>IFERROR(VLOOKUP(DD131,スクリプト_フロー!$A:$F,5,FALSE),"")</f>
        <v/>
      </c>
      <c r="DF131" s="1" t="str">
        <f t="shared" si="44"/>
        <v>|</v>
      </c>
      <c r="DG131" s="1" t="str">
        <f>IFERROR(VLOOKUP(DF131,スクリプト_フロー!$A:$F,5,FALSE),"")</f>
        <v/>
      </c>
    </row>
    <row r="132" spans="1:111" ht="21">
      <c r="A132" s="1">
        <v>131</v>
      </c>
      <c r="B132" s="1" t="s">
        <v>347</v>
      </c>
      <c r="C132" s="1" t="s">
        <v>348</v>
      </c>
      <c r="D132" s="1" t="s">
        <v>44</v>
      </c>
      <c r="E132" s="6"/>
      <c r="F132" s="6"/>
      <c r="G132" s="6" t="s">
        <v>34</v>
      </c>
      <c r="H132" s="6"/>
      <c r="I132" s="4" t="str">
        <f>SUBSTITUTE(SUBSTITUTE(SUBSTITUTE(SUBSTITUTE(SUBSTITUTE(SUBSTITUTE(SUBSTITUTE(SUBSTITUTE(SUBSTITUTE(SUBSTITUTE(SUBSTITUTE(Q132,"{会社}",設定!$B$3),"{自分}",設定!$B$4),"{サービス}",設定!$B$5),"{料金}",設定!$B$7),"{日付1}",設定!$B$8),"{日付2}",設定!$B$9),"{時間1}",設定!$B$10),"{時間2}",設定!$B$11),"{時間}","（指定時間）"),"{日付確定}","（確定日）"),"{時間確定}","（確定時間）")</f>
        <v/>
      </c>
      <c r="J132" s="1" t="str">
        <f>IFERROR(VLOOKUP(P132,スクリプト_フロー!$A:$F,4,FALSE),"")</f>
        <v/>
      </c>
      <c r="K132" s="6" t="s">
        <v>35</v>
      </c>
      <c r="L132" s="6"/>
      <c r="M132" s="6"/>
      <c r="N132" s="6"/>
      <c r="O132" s="1"/>
      <c r="P132" s="1" t="str">
        <f t="shared" si="36"/>
        <v>①架電|</v>
      </c>
      <c r="Q132" s="1" t="str">
        <f>IFERROR(VLOOKUP(P132,スクリプト_フロー!$A:$F,5,FALSE),"")</f>
        <v/>
      </c>
      <c r="R132" s="6" t="str">
        <f t="shared" si="37"/>
        <v/>
      </c>
      <c r="S132" s="6"/>
      <c r="T132" s="4" t="str">
        <f>IF(DA132="","",SUBSTITUTE(SUBSTITUTE(SUBSTITUTE(SUBSTITUTE(SUBSTITUTE(SUBSTITUTE(SUBSTITUTE(SUBSTITUTE(SUBSTITUTE(SUBSTITUTE(SUBSTITUTE(DA132,"{会社}",設定!$B$3),"{自分}",設定!$B$4),"{サービス}",設定!$B$5),"{料金}",設定!$B$7),"{日付1}",設定!$B$8),"{日付2}",設定!$B$9),"{時間1}",設定!$B$10),"{時間2}",設定!$B$11),"{時間}","（指定時間）"),"{日付確定}","（確定日）"),"{時間確定}","（確定時間）"))</f>
        <v/>
      </c>
      <c r="U132" s="1" t="str">
        <f>IFERROR(VLOOKUP(CZ132,スクリプト_フロー!$A:$F,4,FALSE),"")</f>
        <v/>
      </c>
      <c r="V132" s="6" t="str">
        <f t="shared" si="38"/>
        <v/>
      </c>
      <c r="W132" s="6"/>
      <c r="X132" s="4" t="str">
        <f>IF(DC132="","",SUBSTITUTE(SUBSTITUTE(SUBSTITUTE(SUBSTITUTE(SUBSTITUTE(SUBSTITUTE(SUBSTITUTE(SUBSTITUTE(SUBSTITUTE(SUBSTITUTE(SUBSTITUTE(DC132,"{会社}",設定!$B$3),"{自分}",設定!$B$4),"{サービス}",設定!$B$5),"{料金}",設定!$B$7),"{日付1}",設定!$B$8),"{日付2}",設定!$B$9),"{時間1}",設定!$B$10),"{時間2}",設定!$B$11),"{時間}","（指定時間）"),"{日付確定}","（確定日）"),"{時間確定}","（確定時間）"))</f>
        <v/>
      </c>
      <c r="Y132" s="1" t="str">
        <f>IFERROR(VLOOKUP(DB132,スクリプト_フロー!$A:$F,4,FALSE),"")</f>
        <v/>
      </c>
      <c r="Z132" s="6" t="str">
        <f t="shared" si="39"/>
        <v/>
      </c>
      <c r="AA132" s="6"/>
      <c r="AB132" s="4" t="str">
        <f>IF(DE132="","",SUBSTITUTE(SUBSTITUTE(SUBSTITUTE(SUBSTITUTE(SUBSTITUTE(SUBSTITUTE(SUBSTITUTE(SUBSTITUTE(SUBSTITUTE(SUBSTITUTE(SUBSTITUTE(DE132,"{会社}",設定!$B$3),"{自分}",設定!$B$4),"{サービス}",設定!$B$5),"{料金}",設定!$B$7),"{日付1}",設定!$B$8),"{日付2}",設定!$B$9),"{時間1}",設定!$B$10),"{時間2}",設定!$B$11),"{時間}","（指定時間）"),"{日付確定}","（確定日）"),"{時間確定}","（確定時間）"))</f>
        <v/>
      </c>
      <c r="AC132" s="1" t="str">
        <f>IFERROR(VLOOKUP(DD132,スクリプト_フロー!$A:$F,4,FALSE),"")</f>
        <v/>
      </c>
      <c r="AD132" s="6" t="str">
        <f t="shared" si="40"/>
        <v/>
      </c>
      <c r="AE132" s="6"/>
      <c r="AF132" s="4" t="str">
        <f>IF(DG132="","",SUBSTITUTE(SUBSTITUTE(SUBSTITUTE(SUBSTITUTE(SUBSTITUTE(SUBSTITUTE(SUBSTITUTE(SUBSTITUTE(SUBSTITUTE(SUBSTITUTE(SUBSTITUTE(DG132,"{会社}",設定!$B$3),"{自分}",設定!$B$4),"{サービス}",設定!$B$5),"{料金}",設定!$B$7),"{日付1}",設定!$B$8),"{日付2}",設定!$B$9),"{時間1}",設定!$B$10),"{時間2}",設定!$B$11),"{時間}","（指定時間）"),"{日付確定}","（確定日）"),"{時間確定}","（確定時間）"))</f>
        <v/>
      </c>
      <c r="AG132" s="1" t="str">
        <f>IFERROR(VLOOKUP(DF132,スクリプト_フロー!$A:$F,4,FALSE),"")</f>
        <v/>
      </c>
      <c r="CZ132" s="1" t="str">
        <f t="shared" si="41"/>
        <v>|</v>
      </c>
      <c r="DA132" s="1" t="str">
        <f>IFERROR(VLOOKUP(CZ132,スクリプト_フロー!$A:$F,5,FALSE),"")</f>
        <v/>
      </c>
      <c r="DB132" s="1" t="str">
        <f t="shared" si="42"/>
        <v>|</v>
      </c>
      <c r="DC132" s="1" t="str">
        <f>IFERROR(VLOOKUP(DB132,スクリプト_フロー!$A:$F,5,FALSE),"")</f>
        <v/>
      </c>
      <c r="DD132" s="1" t="str">
        <f t="shared" si="43"/>
        <v>|</v>
      </c>
      <c r="DE132" s="1" t="str">
        <f>IFERROR(VLOOKUP(DD132,スクリプト_フロー!$A:$F,5,FALSE),"")</f>
        <v/>
      </c>
      <c r="DF132" s="1" t="str">
        <f t="shared" si="44"/>
        <v>|</v>
      </c>
      <c r="DG132" s="1" t="str">
        <f>IFERROR(VLOOKUP(DF132,スクリプト_フロー!$A:$F,5,FALSE),"")</f>
        <v/>
      </c>
    </row>
    <row r="133" spans="1:111" ht="21">
      <c r="A133" s="1">
        <v>132</v>
      </c>
      <c r="B133" s="1" t="s">
        <v>349</v>
      </c>
      <c r="C133" s="1" t="s">
        <v>346</v>
      </c>
      <c r="D133" s="1" t="s">
        <v>143</v>
      </c>
      <c r="E133" s="6"/>
      <c r="F133" s="6"/>
      <c r="G133" s="6" t="s">
        <v>34</v>
      </c>
      <c r="H133" s="6"/>
      <c r="I133" s="4" t="str">
        <f>SUBSTITUTE(SUBSTITUTE(SUBSTITUTE(SUBSTITUTE(SUBSTITUTE(SUBSTITUTE(SUBSTITUTE(SUBSTITUTE(SUBSTITUTE(SUBSTITUTE(SUBSTITUTE(Q133,"{会社}",設定!$B$3),"{自分}",設定!$B$4),"{サービス}",設定!$B$5),"{料金}",設定!$B$7),"{日付1}",設定!$B$8),"{日付2}",設定!$B$9),"{時間1}",設定!$B$10),"{時間2}",設定!$B$11),"{時間}","（指定時間）"),"{日付確定}","（確定日）"),"{時間確定}","（確定時間）")</f>
        <v/>
      </c>
      <c r="J133" s="1" t="str">
        <f>IFERROR(VLOOKUP(P133,スクリプト_フロー!$A:$F,4,FALSE),"")</f>
        <v/>
      </c>
      <c r="K133" s="6" t="s">
        <v>35</v>
      </c>
      <c r="L133" s="6"/>
      <c r="M133" s="6"/>
      <c r="N133" s="6"/>
      <c r="O133" s="1"/>
      <c r="P133" s="1" t="str">
        <f t="shared" si="36"/>
        <v>①架電|</v>
      </c>
      <c r="Q133" s="1" t="str">
        <f>IFERROR(VLOOKUP(P133,スクリプト_フロー!$A:$F,5,FALSE),"")</f>
        <v/>
      </c>
      <c r="R133" s="6" t="str">
        <f t="shared" si="37"/>
        <v/>
      </c>
      <c r="S133" s="6"/>
      <c r="T133" s="4" t="str">
        <f>IF(DA133="","",SUBSTITUTE(SUBSTITUTE(SUBSTITUTE(SUBSTITUTE(SUBSTITUTE(SUBSTITUTE(SUBSTITUTE(SUBSTITUTE(SUBSTITUTE(SUBSTITUTE(SUBSTITUTE(DA133,"{会社}",設定!$B$3),"{自分}",設定!$B$4),"{サービス}",設定!$B$5),"{料金}",設定!$B$7),"{日付1}",設定!$B$8),"{日付2}",設定!$B$9),"{時間1}",設定!$B$10),"{時間2}",設定!$B$11),"{時間}","（指定時間）"),"{日付確定}","（確定日）"),"{時間確定}","（確定時間）"))</f>
        <v/>
      </c>
      <c r="U133" s="1" t="str">
        <f>IFERROR(VLOOKUP(CZ133,スクリプト_フロー!$A:$F,4,FALSE),"")</f>
        <v/>
      </c>
      <c r="V133" s="6" t="str">
        <f t="shared" si="38"/>
        <v/>
      </c>
      <c r="W133" s="6"/>
      <c r="X133" s="4" t="str">
        <f>IF(DC133="","",SUBSTITUTE(SUBSTITUTE(SUBSTITUTE(SUBSTITUTE(SUBSTITUTE(SUBSTITUTE(SUBSTITUTE(SUBSTITUTE(SUBSTITUTE(SUBSTITUTE(SUBSTITUTE(DC133,"{会社}",設定!$B$3),"{自分}",設定!$B$4),"{サービス}",設定!$B$5),"{料金}",設定!$B$7),"{日付1}",設定!$B$8),"{日付2}",設定!$B$9),"{時間1}",設定!$B$10),"{時間2}",設定!$B$11),"{時間}","（指定時間）"),"{日付確定}","（確定日）"),"{時間確定}","（確定時間）"))</f>
        <v/>
      </c>
      <c r="Y133" s="1" t="str">
        <f>IFERROR(VLOOKUP(DB133,スクリプト_フロー!$A:$F,4,FALSE),"")</f>
        <v/>
      </c>
      <c r="Z133" s="6" t="str">
        <f t="shared" si="39"/>
        <v/>
      </c>
      <c r="AA133" s="6"/>
      <c r="AB133" s="4" t="str">
        <f>IF(DE133="","",SUBSTITUTE(SUBSTITUTE(SUBSTITUTE(SUBSTITUTE(SUBSTITUTE(SUBSTITUTE(SUBSTITUTE(SUBSTITUTE(SUBSTITUTE(SUBSTITUTE(SUBSTITUTE(DE133,"{会社}",設定!$B$3),"{自分}",設定!$B$4),"{サービス}",設定!$B$5),"{料金}",設定!$B$7),"{日付1}",設定!$B$8),"{日付2}",設定!$B$9),"{時間1}",設定!$B$10),"{時間2}",設定!$B$11),"{時間}","（指定時間）"),"{日付確定}","（確定日）"),"{時間確定}","（確定時間）"))</f>
        <v/>
      </c>
      <c r="AC133" s="1" t="str">
        <f>IFERROR(VLOOKUP(DD133,スクリプト_フロー!$A:$F,4,FALSE),"")</f>
        <v/>
      </c>
      <c r="AD133" s="6" t="str">
        <f t="shared" si="40"/>
        <v/>
      </c>
      <c r="AE133" s="6"/>
      <c r="AF133" s="4" t="str">
        <f>IF(DG133="","",SUBSTITUTE(SUBSTITUTE(SUBSTITUTE(SUBSTITUTE(SUBSTITUTE(SUBSTITUTE(SUBSTITUTE(SUBSTITUTE(SUBSTITUTE(SUBSTITUTE(SUBSTITUTE(DG133,"{会社}",設定!$B$3),"{自分}",設定!$B$4),"{サービス}",設定!$B$5),"{料金}",設定!$B$7),"{日付1}",設定!$B$8),"{日付2}",設定!$B$9),"{時間1}",設定!$B$10),"{時間2}",設定!$B$11),"{時間}","（指定時間）"),"{日付確定}","（確定日）"),"{時間確定}","（確定時間）"))</f>
        <v/>
      </c>
      <c r="AG133" s="1" t="str">
        <f>IFERROR(VLOOKUP(DF133,スクリプト_フロー!$A:$F,4,FALSE),"")</f>
        <v/>
      </c>
      <c r="CZ133" s="1" t="str">
        <f t="shared" si="41"/>
        <v>|</v>
      </c>
      <c r="DA133" s="1" t="str">
        <f>IFERROR(VLOOKUP(CZ133,スクリプト_フロー!$A:$F,5,FALSE),"")</f>
        <v/>
      </c>
      <c r="DB133" s="1" t="str">
        <f t="shared" si="42"/>
        <v>|</v>
      </c>
      <c r="DC133" s="1" t="str">
        <f>IFERROR(VLOOKUP(DB133,スクリプト_フロー!$A:$F,5,FALSE),"")</f>
        <v/>
      </c>
      <c r="DD133" s="1" t="str">
        <f t="shared" si="43"/>
        <v>|</v>
      </c>
      <c r="DE133" s="1" t="str">
        <f>IFERROR(VLOOKUP(DD133,スクリプト_フロー!$A:$F,5,FALSE),"")</f>
        <v/>
      </c>
      <c r="DF133" s="1" t="str">
        <f t="shared" si="44"/>
        <v>|</v>
      </c>
      <c r="DG133" s="1" t="str">
        <f>IFERROR(VLOOKUP(DF133,スクリプト_フロー!$A:$F,5,FALSE),"")</f>
        <v/>
      </c>
    </row>
    <row r="134" spans="1:111" ht="21">
      <c r="A134" s="1">
        <v>133</v>
      </c>
      <c r="B134" s="1" t="s">
        <v>350</v>
      </c>
      <c r="C134" s="1" t="s">
        <v>346</v>
      </c>
      <c r="D134" s="1" t="s">
        <v>351</v>
      </c>
      <c r="E134" s="6"/>
      <c r="F134" s="6"/>
      <c r="G134" s="6" t="s">
        <v>34</v>
      </c>
      <c r="H134" s="6"/>
      <c r="I134" s="4" t="str">
        <f>SUBSTITUTE(SUBSTITUTE(SUBSTITUTE(SUBSTITUTE(SUBSTITUTE(SUBSTITUTE(SUBSTITUTE(SUBSTITUTE(SUBSTITUTE(SUBSTITUTE(SUBSTITUTE(Q134,"{会社}",設定!$B$3),"{自分}",設定!$B$4),"{サービス}",設定!$B$5),"{料金}",設定!$B$7),"{日付1}",設定!$B$8),"{日付2}",設定!$B$9),"{時間1}",設定!$B$10),"{時間2}",設定!$B$11),"{時間}","（指定時間）"),"{日付確定}","（確定日）"),"{時間確定}","（確定時間）")</f>
        <v/>
      </c>
      <c r="J134" s="1" t="str">
        <f>IFERROR(VLOOKUP(P134,スクリプト_フロー!$A:$F,4,FALSE),"")</f>
        <v/>
      </c>
      <c r="K134" s="6" t="s">
        <v>35</v>
      </c>
      <c r="L134" s="6"/>
      <c r="M134" s="6"/>
      <c r="N134" s="6"/>
      <c r="O134" s="1"/>
      <c r="P134" s="1" t="str">
        <f t="shared" si="36"/>
        <v>①架電|</v>
      </c>
      <c r="Q134" s="1" t="str">
        <f>IFERROR(VLOOKUP(P134,スクリプト_フロー!$A:$F,5,FALSE),"")</f>
        <v/>
      </c>
      <c r="R134" s="6" t="str">
        <f t="shared" si="37"/>
        <v/>
      </c>
      <c r="S134" s="6"/>
      <c r="T134" s="4" t="str">
        <f>IF(DA134="","",SUBSTITUTE(SUBSTITUTE(SUBSTITUTE(SUBSTITUTE(SUBSTITUTE(SUBSTITUTE(SUBSTITUTE(SUBSTITUTE(SUBSTITUTE(SUBSTITUTE(SUBSTITUTE(DA134,"{会社}",設定!$B$3),"{自分}",設定!$B$4),"{サービス}",設定!$B$5),"{料金}",設定!$B$7),"{日付1}",設定!$B$8),"{日付2}",設定!$B$9),"{時間1}",設定!$B$10),"{時間2}",設定!$B$11),"{時間}","（指定時間）"),"{日付確定}","（確定日）"),"{時間確定}","（確定時間）"))</f>
        <v/>
      </c>
      <c r="U134" s="1" t="str">
        <f>IFERROR(VLOOKUP(CZ134,スクリプト_フロー!$A:$F,4,FALSE),"")</f>
        <v/>
      </c>
      <c r="V134" s="6" t="str">
        <f t="shared" si="38"/>
        <v/>
      </c>
      <c r="W134" s="6"/>
      <c r="X134" s="4" t="str">
        <f>IF(DC134="","",SUBSTITUTE(SUBSTITUTE(SUBSTITUTE(SUBSTITUTE(SUBSTITUTE(SUBSTITUTE(SUBSTITUTE(SUBSTITUTE(SUBSTITUTE(SUBSTITUTE(SUBSTITUTE(DC134,"{会社}",設定!$B$3),"{自分}",設定!$B$4),"{サービス}",設定!$B$5),"{料金}",設定!$B$7),"{日付1}",設定!$B$8),"{日付2}",設定!$B$9),"{時間1}",設定!$B$10),"{時間2}",設定!$B$11),"{時間}","（指定時間）"),"{日付確定}","（確定日）"),"{時間確定}","（確定時間）"))</f>
        <v/>
      </c>
      <c r="Y134" s="1" t="str">
        <f>IFERROR(VLOOKUP(DB134,スクリプト_フロー!$A:$F,4,FALSE),"")</f>
        <v/>
      </c>
      <c r="Z134" s="6" t="str">
        <f t="shared" si="39"/>
        <v/>
      </c>
      <c r="AA134" s="6"/>
      <c r="AB134" s="4" t="str">
        <f>IF(DE134="","",SUBSTITUTE(SUBSTITUTE(SUBSTITUTE(SUBSTITUTE(SUBSTITUTE(SUBSTITUTE(SUBSTITUTE(SUBSTITUTE(SUBSTITUTE(SUBSTITUTE(SUBSTITUTE(DE134,"{会社}",設定!$B$3),"{自分}",設定!$B$4),"{サービス}",設定!$B$5),"{料金}",設定!$B$7),"{日付1}",設定!$B$8),"{日付2}",設定!$B$9),"{時間1}",設定!$B$10),"{時間2}",設定!$B$11),"{時間}","（指定時間）"),"{日付確定}","（確定日）"),"{時間確定}","（確定時間）"))</f>
        <v/>
      </c>
      <c r="AC134" s="1" t="str">
        <f>IFERROR(VLOOKUP(DD134,スクリプト_フロー!$A:$F,4,FALSE),"")</f>
        <v/>
      </c>
      <c r="AD134" s="6" t="str">
        <f t="shared" si="40"/>
        <v/>
      </c>
      <c r="AE134" s="6"/>
      <c r="AF134" s="4" t="str">
        <f>IF(DG134="","",SUBSTITUTE(SUBSTITUTE(SUBSTITUTE(SUBSTITUTE(SUBSTITUTE(SUBSTITUTE(SUBSTITUTE(SUBSTITUTE(SUBSTITUTE(SUBSTITUTE(SUBSTITUTE(DG134,"{会社}",設定!$B$3),"{自分}",設定!$B$4),"{サービス}",設定!$B$5),"{料金}",設定!$B$7),"{日付1}",設定!$B$8),"{日付2}",設定!$B$9),"{時間1}",設定!$B$10),"{時間2}",設定!$B$11),"{時間}","（指定時間）"),"{日付確定}","（確定日）"),"{時間確定}","（確定時間）"))</f>
        <v/>
      </c>
      <c r="AG134" s="1" t="str">
        <f>IFERROR(VLOOKUP(DF134,スクリプト_フロー!$A:$F,4,FALSE),"")</f>
        <v/>
      </c>
      <c r="CZ134" s="1" t="str">
        <f t="shared" si="41"/>
        <v>|</v>
      </c>
      <c r="DA134" s="1" t="str">
        <f>IFERROR(VLOOKUP(CZ134,スクリプト_フロー!$A:$F,5,FALSE),"")</f>
        <v/>
      </c>
      <c r="DB134" s="1" t="str">
        <f t="shared" si="42"/>
        <v>|</v>
      </c>
      <c r="DC134" s="1" t="str">
        <f>IFERROR(VLOOKUP(DB134,スクリプト_フロー!$A:$F,5,FALSE),"")</f>
        <v/>
      </c>
      <c r="DD134" s="1" t="str">
        <f t="shared" si="43"/>
        <v>|</v>
      </c>
      <c r="DE134" s="1" t="str">
        <f>IFERROR(VLOOKUP(DD134,スクリプト_フロー!$A:$F,5,FALSE),"")</f>
        <v/>
      </c>
      <c r="DF134" s="1" t="str">
        <f t="shared" si="44"/>
        <v>|</v>
      </c>
      <c r="DG134" s="1" t="str">
        <f>IFERROR(VLOOKUP(DF134,スクリプト_フロー!$A:$F,5,FALSE),"")</f>
        <v/>
      </c>
    </row>
    <row r="135" spans="1:111" ht="21">
      <c r="A135" s="1">
        <v>134</v>
      </c>
      <c r="B135" s="1" t="s">
        <v>352</v>
      </c>
      <c r="C135" s="1" t="s">
        <v>346</v>
      </c>
      <c r="D135" s="1" t="s">
        <v>62</v>
      </c>
      <c r="E135" s="6"/>
      <c r="F135" s="6"/>
      <c r="G135" s="6" t="s">
        <v>34</v>
      </c>
      <c r="H135" s="6"/>
      <c r="I135" s="4" t="str">
        <f>SUBSTITUTE(SUBSTITUTE(SUBSTITUTE(SUBSTITUTE(SUBSTITUTE(SUBSTITUTE(SUBSTITUTE(SUBSTITUTE(SUBSTITUTE(SUBSTITUTE(SUBSTITUTE(Q135,"{会社}",設定!$B$3),"{自分}",設定!$B$4),"{サービス}",設定!$B$5),"{料金}",設定!$B$7),"{日付1}",設定!$B$8),"{日付2}",設定!$B$9),"{時間1}",設定!$B$10),"{時間2}",設定!$B$11),"{時間}","（指定時間）"),"{日付確定}","（確定日）"),"{時間確定}","（確定時間）")</f>
        <v/>
      </c>
      <c r="J135" s="1" t="str">
        <f>IFERROR(VLOOKUP(P135,スクリプト_フロー!$A:$F,4,FALSE),"")</f>
        <v/>
      </c>
      <c r="K135" s="6" t="s">
        <v>35</v>
      </c>
      <c r="L135" s="6"/>
      <c r="M135" s="6"/>
      <c r="N135" s="6"/>
      <c r="O135" s="1"/>
      <c r="P135" s="1" t="str">
        <f t="shared" si="36"/>
        <v>①架電|</v>
      </c>
      <c r="Q135" s="1" t="str">
        <f>IFERROR(VLOOKUP(P135,スクリプト_フロー!$A:$F,5,FALSE),"")</f>
        <v/>
      </c>
      <c r="R135" s="6" t="str">
        <f t="shared" si="37"/>
        <v/>
      </c>
      <c r="S135" s="6"/>
      <c r="T135" s="4" t="str">
        <f>IF(DA135="","",SUBSTITUTE(SUBSTITUTE(SUBSTITUTE(SUBSTITUTE(SUBSTITUTE(SUBSTITUTE(SUBSTITUTE(SUBSTITUTE(SUBSTITUTE(SUBSTITUTE(SUBSTITUTE(DA135,"{会社}",設定!$B$3),"{自分}",設定!$B$4),"{サービス}",設定!$B$5),"{料金}",設定!$B$7),"{日付1}",設定!$B$8),"{日付2}",設定!$B$9),"{時間1}",設定!$B$10),"{時間2}",設定!$B$11),"{時間}","（指定時間）"),"{日付確定}","（確定日）"),"{時間確定}","（確定時間）"))</f>
        <v/>
      </c>
      <c r="U135" s="1" t="str">
        <f>IFERROR(VLOOKUP(CZ135,スクリプト_フロー!$A:$F,4,FALSE),"")</f>
        <v/>
      </c>
      <c r="V135" s="6" t="str">
        <f t="shared" si="38"/>
        <v/>
      </c>
      <c r="W135" s="6"/>
      <c r="X135" s="4" t="str">
        <f>IF(DC135="","",SUBSTITUTE(SUBSTITUTE(SUBSTITUTE(SUBSTITUTE(SUBSTITUTE(SUBSTITUTE(SUBSTITUTE(SUBSTITUTE(SUBSTITUTE(SUBSTITUTE(SUBSTITUTE(DC135,"{会社}",設定!$B$3),"{自分}",設定!$B$4),"{サービス}",設定!$B$5),"{料金}",設定!$B$7),"{日付1}",設定!$B$8),"{日付2}",設定!$B$9),"{時間1}",設定!$B$10),"{時間2}",設定!$B$11),"{時間}","（指定時間）"),"{日付確定}","（確定日）"),"{時間確定}","（確定時間）"))</f>
        <v/>
      </c>
      <c r="Y135" s="1" t="str">
        <f>IFERROR(VLOOKUP(DB135,スクリプト_フロー!$A:$F,4,FALSE),"")</f>
        <v/>
      </c>
      <c r="Z135" s="6" t="str">
        <f t="shared" si="39"/>
        <v/>
      </c>
      <c r="AA135" s="6"/>
      <c r="AB135" s="4" t="str">
        <f>IF(DE135="","",SUBSTITUTE(SUBSTITUTE(SUBSTITUTE(SUBSTITUTE(SUBSTITUTE(SUBSTITUTE(SUBSTITUTE(SUBSTITUTE(SUBSTITUTE(SUBSTITUTE(SUBSTITUTE(DE135,"{会社}",設定!$B$3),"{自分}",設定!$B$4),"{サービス}",設定!$B$5),"{料金}",設定!$B$7),"{日付1}",設定!$B$8),"{日付2}",設定!$B$9),"{時間1}",設定!$B$10),"{時間2}",設定!$B$11),"{時間}","（指定時間）"),"{日付確定}","（確定日）"),"{時間確定}","（確定時間）"))</f>
        <v/>
      </c>
      <c r="AC135" s="1" t="str">
        <f>IFERROR(VLOOKUP(DD135,スクリプト_フロー!$A:$F,4,FALSE),"")</f>
        <v/>
      </c>
      <c r="AD135" s="6" t="str">
        <f t="shared" si="40"/>
        <v/>
      </c>
      <c r="AE135" s="6"/>
      <c r="AF135" s="4" t="str">
        <f>IF(DG135="","",SUBSTITUTE(SUBSTITUTE(SUBSTITUTE(SUBSTITUTE(SUBSTITUTE(SUBSTITUTE(SUBSTITUTE(SUBSTITUTE(SUBSTITUTE(SUBSTITUTE(SUBSTITUTE(DG135,"{会社}",設定!$B$3),"{自分}",設定!$B$4),"{サービス}",設定!$B$5),"{料金}",設定!$B$7),"{日付1}",設定!$B$8),"{日付2}",設定!$B$9),"{時間1}",設定!$B$10),"{時間2}",設定!$B$11),"{時間}","（指定時間）"),"{日付確定}","（確定日）"),"{時間確定}","（確定時間）"))</f>
        <v/>
      </c>
      <c r="AG135" s="1" t="str">
        <f>IFERROR(VLOOKUP(DF135,スクリプト_フロー!$A:$F,4,FALSE),"")</f>
        <v/>
      </c>
      <c r="CZ135" s="1" t="str">
        <f t="shared" si="41"/>
        <v>|</v>
      </c>
      <c r="DA135" s="1" t="str">
        <f>IFERROR(VLOOKUP(CZ135,スクリプト_フロー!$A:$F,5,FALSE),"")</f>
        <v/>
      </c>
      <c r="DB135" s="1" t="str">
        <f t="shared" si="42"/>
        <v>|</v>
      </c>
      <c r="DC135" s="1" t="str">
        <f>IFERROR(VLOOKUP(DB135,スクリプト_フロー!$A:$F,5,FALSE),"")</f>
        <v/>
      </c>
      <c r="DD135" s="1" t="str">
        <f t="shared" si="43"/>
        <v>|</v>
      </c>
      <c r="DE135" s="1" t="str">
        <f>IFERROR(VLOOKUP(DD135,スクリプト_フロー!$A:$F,5,FALSE),"")</f>
        <v/>
      </c>
      <c r="DF135" s="1" t="str">
        <f t="shared" si="44"/>
        <v>|</v>
      </c>
      <c r="DG135" s="1" t="str">
        <f>IFERROR(VLOOKUP(DF135,スクリプト_フロー!$A:$F,5,FALSE),"")</f>
        <v/>
      </c>
    </row>
    <row r="136" spans="1:111" ht="21">
      <c r="A136" s="1">
        <v>135</v>
      </c>
      <c r="B136" s="1" t="s">
        <v>353</v>
      </c>
      <c r="C136" s="1" t="s">
        <v>346</v>
      </c>
      <c r="D136" s="1" t="s">
        <v>62</v>
      </c>
      <c r="E136" s="6"/>
      <c r="F136" s="6"/>
      <c r="G136" s="6" t="s">
        <v>34</v>
      </c>
      <c r="H136" s="6"/>
      <c r="I136" s="4" t="str">
        <f>SUBSTITUTE(SUBSTITUTE(SUBSTITUTE(SUBSTITUTE(SUBSTITUTE(SUBSTITUTE(SUBSTITUTE(SUBSTITUTE(SUBSTITUTE(SUBSTITUTE(SUBSTITUTE(Q136,"{会社}",設定!$B$3),"{自分}",設定!$B$4),"{サービス}",設定!$B$5),"{料金}",設定!$B$7),"{日付1}",設定!$B$8),"{日付2}",設定!$B$9),"{時間1}",設定!$B$10),"{時間2}",設定!$B$11),"{時間}","（指定時間）"),"{日付確定}","（確定日）"),"{時間確定}","（確定時間）")</f>
        <v/>
      </c>
      <c r="J136" s="1" t="str">
        <f>IFERROR(VLOOKUP(P136,スクリプト_フロー!$A:$F,4,FALSE),"")</f>
        <v/>
      </c>
      <c r="K136" s="6" t="s">
        <v>35</v>
      </c>
      <c r="L136" s="6"/>
      <c r="M136" s="6"/>
      <c r="N136" s="6"/>
      <c r="O136" s="1"/>
      <c r="P136" s="1" t="str">
        <f t="shared" si="36"/>
        <v>①架電|</v>
      </c>
      <c r="Q136" s="1" t="str">
        <f>IFERROR(VLOOKUP(P136,スクリプト_フロー!$A:$F,5,FALSE),"")</f>
        <v/>
      </c>
      <c r="R136" s="6" t="str">
        <f t="shared" si="37"/>
        <v/>
      </c>
      <c r="S136" s="6"/>
      <c r="T136" s="4" t="str">
        <f>IF(DA136="","",SUBSTITUTE(SUBSTITUTE(SUBSTITUTE(SUBSTITUTE(SUBSTITUTE(SUBSTITUTE(SUBSTITUTE(SUBSTITUTE(SUBSTITUTE(SUBSTITUTE(SUBSTITUTE(DA136,"{会社}",設定!$B$3),"{自分}",設定!$B$4),"{サービス}",設定!$B$5),"{料金}",設定!$B$7),"{日付1}",設定!$B$8),"{日付2}",設定!$B$9),"{時間1}",設定!$B$10),"{時間2}",設定!$B$11),"{時間}","（指定時間）"),"{日付確定}","（確定日）"),"{時間確定}","（確定時間）"))</f>
        <v/>
      </c>
      <c r="U136" s="1" t="str">
        <f>IFERROR(VLOOKUP(CZ136,スクリプト_フロー!$A:$F,4,FALSE),"")</f>
        <v/>
      </c>
      <c r="V136" s="6" t="str">
        <f t="shared" si="38"/>
        <v/>
      </c>
      <c r="W136" s="6"/>
      <c r="X136" s="4" t="str">
        <f>IF(DC136="","",SUBSTITUTE(SUBSTITUTE(SUBSTITUTE(SUBSTITUTE(SUBSTITUTE(SUBSTITUTE(SUBSTITUTE(SUBSTITUTE(SUBSTITUTE(SUBSTITUTE(SUBSTITUTE(DC136,"{会社}",設定!$B$3),"{自分}",設定!$B$4),"{サービス}",設定!$B$5),"{料金}",設定!$B$7),"{日付1}",設定!$B$8),"{日付2}",設定!$B$9),"{時間1}",設定!$B$10),"{時間2}",設定!$B$11),"{時間}","（指定時間）"),"{日付確定}","（確定日）"),"{時間確定}","（確定時間）"))</f>
        <v/>
      </c>
      <c r="Y136" s="1" t="str">
        <f>IFERROR(VLOOKUP(DB136,スクリプト_フロー!$A:$F,4,FALSE),"")</f>
        <v/>
      </c>
      <c r="Z136" s="6" t="str">
        <f t="shared" si="39"/>
        <v/>
      </c>
      <c r="AA136" s="6"/>
      <c r="AB136" s="4" t="str">
        <f>IF(DE136="","",SUBSTITUTE(SUBSTITUTE(SUBSTITUTE(SUBSTITUTE(SUBSTITUTE(SUBSTITUTE(SUBSTITUTE(SUBSTITUTE(SUBSTITUTE(SUBSTITUTE(SUBSTITUTE(DE136,"{会社}",設定!$B$3),"{自分}",設定!$B$4),"{サービス}",設定!$B$5),"{料金}",設定!$B$7),"{日付1}",設定!$B$8),"{日付2}",設定!$B$9),"{時間1}",設定!$B$10),"{時間2}",設定!$B$11),"{時間}","（指定時間）"),"{日付確定}","（確定日）"),"{時間確定}","（確定時間）"))</f>
        <v/>
      </c>
      <c r="AC136" s="1" t="str">
        <f>IFERROR(VLOOKUP(DD136,スクリプト_フロー!$A:$F,4,FALSE),"")</f>
        <v/>
      </c>
      <c r="AD136" s="6" t="str">
        <f t="shared" si="40"/>
        <v/>
      </c>
      <c r="AE136" s="6"/>
      <c r="AF136" s="4" t="str">
        <f>IF(DG136="","",SUBSTITUTE(SUBSTITUTE(SUBSTITUTE(SUBSTITUTE(SUBSTITUTE(SUBSTITUTE(SUBSTITUTE(SUBSTITUTE(SUBSTITUTE(SUBSTITUTE(SUBSTITUTE(DG136,"{会社}",設定!$B$3),"{自分}",設定!$B$4),"{サービス}",設定!$B$5),"{料金}",設定!$B$7),"{日付1}",設定!$B$8),"{日付2}",設定!$B$9),"{時間1}",設定!$B$10),"{時間2}",設定!$B$11),"{時間}","（指定時間）"),"{日付確定}","（確定日）"),"{時間確定}","（確定時間）"))</f>
        <v/>
      </c>
      <c r="AG136" s="1" t="str">
        <f>IFERROR(VLOOKUP(DF136,スクリプト_フロー!$A:$F,4,FALSE),"")</f>
        <v/>
      </c>
      <c r="CZ136" s="1" t="str">
        <f t="shared" si="41"/>
        <v>|</v>
      </c>
      <c r="DA136" s="1" t="str">
        <f>IFERROR(VLOOKUP(CZ136,スクリプト_フロー!$A:$F,5,FALSE),"")</f>
        <v/>
      </c>
      <c r="DB136" s="1" t="str">
        <f t="shared" si="42"/>
        <v>|</v>
      </c>
      <c r="DC136" s="1" t="str">
        <f>IFERROR(VLOOKUP(DB136,スクリプト_フロー!$A:$F,5,FALSE),"")</f>
        <v/>
      </c>
      <c r="DD136" s="1" t="str">
        <f t="shared" si="43"/>
        <v>|</v>
      </c>
      <c r="DE136" s="1" t="str">
        <f>IFERROR(VLOOKUP(DD136,スクリプト_フロー!$A:$F,5,FALSE),"")</f>
        <v/>
      </c>
      <c r="DF136" s="1" t="str">
        <f t="shared" si="44"/>
        <v>|</v>
      </c>
      <c r="DG136" s="1" t="str">
        <f>IFERROR(VLOOKUP(DF136,スクリプト_フロー!$A:$F,5,FALSE),"")</f>
        <v/>
      </c>
    </row>
    <row r="137" spans="1:111" ht="21">
      <c r="A137" s="1">
        <v>136</v>
      </c>
      <c r="B137" s="1" t="s">
        <v>354</v>
      </c>
      <c r="C137" s="1" t="s">
        <v>310</v>
      </c>
      <c r="D137" s="1" t="s">
        <v>62</v>
      </c>
      <c r="E137" s="6"/>
      <c r="F137" s="6"/>
      <c r="G137" s="6" t="s">
        <v>34</v>
      </c>
      <c r="H137" s="6"/>
      <c r="I137" s="4" t="str">
        <f>SUBSTITUTE(SUBSTITUTE(SUBSTITUTE(SUBSTITUTE(SUBSTITUTE(SUBSTITUTE(SUBSTITUTE(SUBSTITUTE(SUBSTITUTE(SUBSTITUTE(SUBSTITUTE(Q137,"{会社}",設定!$B$3),"{自分}",設定!$B$4),"{サービス}",設定!$B$5),"{料金}",設定!$B$7),"{日付1}",設定!$B$8),"{日付2}",設定!$B$9),"{時間1}",設定!$B$10),"{時間2}",設定!$B$11),"{時間}","（指定時間）"),"{日付確定}","（確定日）"),"{時間確定}","（確定時間）")</f>
        <v/>
      </c>
      <c r="J137" s="1" t="str">
        <f>IFERROR(VLOOKUP(P137,スクリプト_フロー!$A:$F,4,FALSE),"")</f>
        <v/>
      </c>
      <c r="K137" s="6" t="s">
        <v>35</v>
      </c>
      <c r="L137" s="6"/>
      <c r="M137" s="6"/>
      <c r="N137" s="6"/>
      <c r="O137" s="1"/>
      <c r="P137" s="1" t="str">
        <f t="shared" si="36"/>
        <v>①架電|</v>
      </c>
      <c r="Q137" s="1" t="str">
        <f>IFERROR(VLOOKUP(P137,スクリプト_フロー!$A:$F,5,FALSE),"")</f>
        <v/>
      </c>
      <c r="R137" s="6" t="str">
        <f t="shared" si="37"/>
        <v/>
      </c>
      <c r="S137" s="6"/>
      <c r="T137" s="4" t="str">
        <f>IF(DA137="","",SUBSTITUTE(SUBSTITUTE(SUBSTITUTE(SUBSTITUTE(SUBSTITUTE(SUBSTITUTE(SUBSTITUTE(SUBSTITUTE(SUBSTITUTE(SUBSTITUTE(SUBSTITUTE(DA137,"{会社}",設定!$B$3),"{自分}",設定!$B$4),"{サービス}",設定!$B$5),"{料金}",設定!$B$7),"{日付1}",設定!$B$8),"{日付2}",設定!$B$9),"{時間1}",設定!$B$10),"{時間2}",設定!$B$11),"{時間}","（指定時間）"),"{日付確定}","（確定日）"),"{時間確定}","（確定時間）"))</f>
        <v/>
      </c>
      <c r="U137" s="1" t="str">
        <f>IFERROR(VLOOKUP(CZ137,スクリプト_フロー!$A:$F,4,FALSE),"")</f>
        <v/>
      </c>
      <c r="V137" s="6" t="str">
        <f t="shared" si="38"/>
        <v/>
      </c>
      <c r="W137" s="6"/>
      <c r="X137" s="4" t="str">
        <f>IF(DC137="","",SUBSTITUTE(SUBSTITUTE(SUBSTITUTE(SUBSTITUTE(SUBSTITUTE(SUBSTITUTE(SUBSTITUTE(SUBSTITUTE(SUBSTITUTE(SUBSTITUTE(SUBSTITUTE(DC137,"{会社}",設定!$B$3),"{自分}",設定!$B$4),"{サービス}",設定!$B$5),"{料金}",設定!$B$7),"{日付1}",設定!$B$8),"{日付2}",設定!$B$9),"{時間1}",設定!$B$10),"{時間2}",設定!$B$11),"{時間}","（指定時間）"),"{日付確定}","（確定日）"),"{時間確定}","（確定時間）"))</f>
        <v/>
      </c>
      <c r="Y137" s="1" t="str">
        <f>IFERROR(VLOOKUP(DB137,スクリプト_フロー!$A:$F,4,FALSE),"")</f>
        <v/>
      </c>
      <c r="Z137" s="6" t="str">
        <f t="shared" si="39"/>
        <v/>
      </c>
      <c r="AA137" s="6"/>
      <c r="AB137" s="4" t="str">
        <f>IF(DE137="","",SUBSTITUTE(SUBSTITUTE(SUBSTITUTE(SUBSTITUTE(SUBSTITUTE(SUBSTITUTE(SUBSTITUTE(SUBSTITUTE(SUBSTITUTE(SUBSTITUTE(SUBSTITUTE(DE137,"{会社}",設定!$B$3),"{自分}",設定!$B$4),"{サービス}",設定!$B$5),"{料金}",設定!$B$7),"{日付1}",設定!$B$8),"{日付2}",設定!$B$9),"{時間1}",設定!$B$10),"{時間2}",設定!$B$11),"{時間}","（指定時間）"),"{日付確定}","（確定日）"),"{時間確定}","（確定時間）"))</f>
        <v/>
      </c>
      <c r="AC137" s="1" t="str">
        <f>IFERROR(VLOOKUP(DD137,スクリプト_フロー!$A:$F,4,FALSE),"")</f>
        <v/>
      </c>
      <c r="AD137" s="6" t="str">
        <f t="shared" si="40"/>
        <v/>
      </c>
      <c r="AE137" s="6"/>
      <c r="AF137" s="4" t="str">
        <f>IF(DG137="","",SUBSTITUTE(SUBSTITUTE(SUBSTITUTE(SUBSTITUTE(SUBSTITUTE(SUBSTITUTE(SUBSTITUTE(SUBSTITUTE(SUBSTITUTE(SUBSTITUTE(SUBSTITUTE(DG137,"{会社}",設定!$B$3),"{自分}",設定!$B$4),"{サービス}",設定!$B$5),"{料金}",設定!$B$7),"{日付1}",設定!$B$8),"{日付2}",設定!$B$9),"{時間1}",設定!$B$10),"{時間2}",設定!$B$11),"{時間}","（指定時間）"),"{日付確定}","（確定日）"),"{時間確定}","（確定時間）"))</f>
        <v/>
      </c>
      <c r="AG137" s="1" t="str">
        <f>IFERROR(VLOOKUP(DF137,スクリプト_フロー!$A:$F,4,FALSE),"")</f>
        <v/>
      </c>
      <c r="CZ137" s="1" t="str">
        <f t="shared" si="41"/>
        <v>|</v>
      </c>
      <c r="DA137" s="1" t="str">
        <f>IFERROR(VLOOKUP(CZ137,スクリプト_フロー!$A:$F,5,FALSE),"")</f>
        <v/>
      </c>
      <c r="DB137" s="1" t="str">
        <f t="shared" si="42"/>
        <v>|</v>
      </c>
      <c r="DC137" s="1" t="str">
        <f>IFERROR(VLOOKUP(DB137,スクリプト_フロー!$A:$F,5,FALSE),"")</f>
        <v/>
      </c>
      <c r="DD137" s="1" t="str">
        <f t="shared" si="43"/>
        <v>|</v>
      </c>
      <c r="DE137" s="1" t="str">
        <f>IFERROR(VLOOKUP(DD137,スクリプト_フロー!$A:$F,5,FALSE),"")</f>
        <v/>
      </c>
      <c r="DF137" s="1" t="str">
        <f t="shared" si="44"/>
        <v>|</v>
      </c>
      <c r="DG137" s="1" t="str">
        <f>IFERROR(VLOOKUP(DF137,スクリプト_フロー!$A:$F,5,FALSE),"")</f>
        <v/>
      </c>
    </row>
    <row r="138" spans="1:111" ht="21">
      <c r="A138" s="1">
        <v>137</v>
      </c>
      <c r="B138" s="1" t="s">
        <v>355</v>
      </c>
      <c r="C138" s="1" t="s">
        <v>252</v>
      </c>
      <c r="D138" s="1" t="s">
        <v>62</v>
      </c>
      <c r="E138" s="6"/>
      <c r="F138" s="6"/>
      <c r="G138" s="6" t="s">
        <v>34</v>
      </c>
      <c r="H138" s="6"/>
      <c r="I138" s="4" t="str">
        <f>SUBSTITUTE(SUBSTITUTE(SUBSTITUTE(SUBSTITUTE(SUBSTITUTE(SUBSTITUTE(SUBSTITUTE(SUBSTITUTE(SUBSTITUTE(SUBSTITUTE(SUBSTITUTE(Q138,"{会社}",設定!$B$3),"{自分}",設定!$B$4),"{サービス}",設定!$B$5),"{料金}",設定!$B$7),"{日付1}",設定!$B$8),"{日付2}",設定!$B$9),"{時間1}",設定!$B$10),"{時間2}",設定!$B$11),"{時間}","（指定時間）"),"{日付確定}","（確定日）"),"{時間確定}","（確定時間）")</f>
        <v/>
      </c>
      <c r="J138" s="1" t="str">
        <f>IFERROR(VLOOKUP(P138,スクリプト_フロー!$A:$F,4,FALSE),"")</f>
        <v/>
      </c>
      <c r="K138" s="6" t="s">
        <v>35</v>
      </c>
      <c r="L138" s="6"/>
      <c r="M138" s="6"/>
      <c r="N138" s="6"/>
      <c r="O138" s="1"/>
      <c r="P138" s="1" t="str">
        <f t="shared" si="36"/>
        <v>①架電|</v>
      </c>
      <c r="Q138" s="1" t="str">
        <f>IFERROR(VLOOKUP(P138,スクリプト_フロー!$A:$F,5,FALSE),"")</f>
        <v/>
      </c>
      <c r="R138" s="6" t="str">
        <f t="shared" si="37"/>
        <v/>
      </c>
      <c r="S138" s="6"/>
      <c r="T138" s="4" t="str">
        <f>IF(DA138="","",SUBSTITUTE(SUBSTITUTE(SUBSTITUTE(SUBSTITUTE(SUBSTITUTE(SUBSTITUTE(SUBSTITUTE(SUBSTITUTE(SUBSTITUTE(SUBSTITUTE(SUBSTITUTE(DA138,"{会社}",設定!$B$3),"{自分}",設定!$B$4),"{サービス}",設定!$B$5),"{料金}",設定!$B$7),"{日付1}",設定!$B$8),"{日付2}",設定!$B$9),"{時間1}",設定!$B$10),"{時間2}",設定!$B$11),"{時間}","（指定時間）"),"{日付確定}","（確定日）"),"{時間確定}","（確定時間）"))</f>
        <v/>
      </c>
      <c r="U138" s="1" t="str">
        <f>IFERROR(VLOOKUP(CZ138,スクリプト_フロー!$A:$F,4,FALSE),"")</f>
        <v/>
      </c>
      <c r="V138" s="6" t="str">
        <f t="shared" si="38"/>
        <v/>
      </c>
      <c r="W138" s="6"/>
      <c r="X138" s="4" t="str">
        <f>IF(DC138="","",SUBSTITUTE(SUBSTITUTE(SUBSTITUTE(SUBSTITUTE(SUBSTITUTE(SUBSTITUTE(SUBSTITUTE(SUBSTITUTE(SUBSTITUTE(SUBSTITUTE(SUBSTITUTE(DC138,"{会社}",設定!$B$3),"{自分}",設定!$B$4),"{サービス}",設定!$B$5),"{料金}",設定!$B$7),"{日付1}",設定!$B$8),"{日付2}",設定!$B$9),"{時間1}",設定!$B$10),"{時間2}",設定!$B$11),"{時間}","（指定時間）"),"{日付確定}","（確定日）"),"{時間確定}","（確定時間）"))</f>
        <v/>
      </c>
      <c r="Y138" s="1" t="str">
        <f>IFERROR(VLOOKUP(DB138,スクリプト_フロー!$A:$F,4,FALSE),"")</f>
        <v/>
      </c>
      <c r="Z138" s="6" t="str">
        <f t="shared" si="39"/>
        <v/>
      </c>
      <c r="AA138" s="6"/>
      <c r="AB138" s="4" t="str">
        <f>IF(DE138="","",SUBSTITUTE(SUBSTITUTE(SUBSTITUTE(SUBSTITUTE(SUBSTITUTE(SUBSTITUTE(SUBSTITUTE(SUBSTITUTE(SUBSTITUTE(SUBSTITUTE(SUBSTITUTE(DE138,"{会社}",設定!$B$3),"{自分}",設定!$B$4),"{サービス}",設定!$B$5),"{料金}",設定!$B$7),"{日付1}",設定!$B$8),"{日付2}",設定!$B$9),"{時間1}",設定!$B$10),"{時間2}",設定!$B$11),"{時間}","（指定時間）"),"{日付確定}","（確定日）"),"{時間確定}","（確定時間）"))</f>
        <v/>
      </c>
      <c r="AC138" s="1" t="str">
        <f>IFERROR(VLOOKUP(DD138,スクリプト_フロー!$A:$F,4,FALSE),"")</f>
        <v/>
      </c>
      <c r="AD138" s="6" t="str">
        <f t="shared" si="40"/>
        <v/>
      </c>
      <c r="AE138" s="6"/>
      <c r="AF138" s="4" t="str">
        <f>IF(DG138="","",SUBSTITUTE(SUBSTITUTE(SUBSTITUTE(SUBSTITUTE(SUBSTITUTE(SUBSTITUTE(SUBSTITUTE(SUBSTITUTE(SUBSTITUTE(SUBSTITUTE(SUBSTITUTE(DG138,"{会社}",設定!$B$3),"{自分}",設定!$B$4),"{サービス}",設定!$B$5),"{料金}",設定!$B$7),"{日付1}",設定!$B$8),"{日付2}",設定!$B$9),"{時間1}",設定!$B$10),"{時間2}",設定!$B$11),"{時間}","（指定時間）"),"{日付確定}","（確定日）"),"{時間確定}","（確定時間）"))</f>
        <v/>
      </c>
      <c r="AG138" s="1" t="str">
        <f>IFERROR(VLOOKUP(DF138,スクリプト_フロー!$A:$F,4,FALSE),"")</f>
        <v/>
      </c>
      <c r="CZ138" s="1" t="str">
        <f t="shared" si="41"/>
        <v>|</v>
      </c>
      <c r="DA138" s="1" t="str">
        <f>IFERROR(VLOOKUP(CZ138,スクリプト_フロー!$A:$F,5,FALSE),"")</f>
        <v/>
      </c>
      <c r="DB138" s="1" t="str">
        <f t="shared" si="42"/>
        <v>|</v>
      </c>
      <c r="DC138" s="1" t="str">
        <f>IFERROR(VLOOKUP(DB138,スクリプト_フロー!$A:$F,5,FALSE),"")</f>
        <v/>
      </c>
      <c r="DD138" s="1" t="str">
        <f t="shared" si="43"/>
        <v>|</v>
      </c>
      <c r="DE138" s="1" t="str">
        <f>IFERROR(VLOOKUP(DD138,スクリプト_フロー!$A:$F,5,FALSE),"")</f>
        <v/>
      </c>
      <c r="DF138" s="1" t="str">
        <f t="shared" si="44"/>
        <v>|</v>
      </c>
      <c r="DG138" s="1" t="str">
        <f>IFERROR(VLOOKUP(DF138,スクリプト_フロー!$A:$F,5,FALSE),"")</f>
        <v/>
      </c>
    </row>
    <row r="139" spans="1:111" ht="21">
      <c r="A139" s="1">
        <v>138</v>
      </c>
      <c r="B139" s="1" t="s">
        <v>356</v>
      </c>
      <c r="C139" s="1" t="s">
        <v>346</v>
      </c>
      <c r="D139" s="1" t="s">
        <v>62</v>
      </c>
      <c r="E139" s="6"/>
      <c r="F139" s="6"/>
      <c r="G139" s="6" t="s">
        <v>34</v>
      </c>
      <c r="H139" s="6"/>
      <c r="I139" s="4" t="str">
        <f>SUBSTITUTE(SUBSTITUTE(SUBSTITUTE(SUBSTITUTE(SUBSTITUTE(SUBSTITUTE(SUBSTITUTE(SUBSTITUTE(SUBSTITUTE(SUBSTITUTE(SUBSTITUTE(Q139,"{会社}",設定!$B$3),"{自分}",設定!$B$4),"{サービス}",設定!$B$5),"{料金}",設定!$B$7),"{日付1}",設定!$B$8),"{日付2}",設定!$B$9),"{時間1}",設定!$B$10),"{時間2}",設定!$B$11),"{時間}","（指定時間）"),"{日付確定}","（確定日）"),"{時間確定}","（確定時間）")</f>
        <v/>
      </c>
      <c r="J139" s="1" t="str">
        <f>IFERROR(VLOOKUP(P139,スクリプト_フロー!$A:$F,4,FALSE),"")</f>
        <v/>
      </c>
      <c r="K139" s="6" t="s">
        <v>35</v>
      </c>
      <c r="L139" s="6"/>
      <c r="M139" s="6"/>
      <c r="N139" s="6"/>
      <c r="O139" s="1"/>
      <c r="P139" s="1" t="str">
        <f t="shared" si="36"/>
        <v>①架電|</v>
      </c>
      <c r="Q139" s="1" t="str">
        <f>IFERROR(VLOOKUP(P139,スクリプト_フロー!$A:$F,5,FALSE),"")</f>
        <v/>
      </c>
      <c r="R139" s="6" t="str">
        <f t="shared" si="37"/>
        <v/>
      </c>
      <c r="S139" s="6"/>
      <c r="T139" s="4" t="str">
        <f>IF(DA139="","",SUBSTITUTE(SUBSTITUTE(SUBSTITUTE(SUBSTITUTE(SUBSTITUTE(SUBSTITUTE(SUBSTITUTE(SUBSTITUTE(SUBSTITUTE(SUBSTITUTE(SUBSTITUTE(DA139,"{会社}",設定!$B$3),"{自分}",設定!$B$4),"{サービス}",設定!$B$5),"{料金}",設定!$B$7),"{日付1}",設定!$B$8),"{日付2}",設定!$B$9),"{時間1}",設定!$B$10),"{時間2}",設定!$B$11),"{時間}","（指定時間）"),"{日付確定}","（確定日）"),"{時間確定}","（確定時間）"))</f>
        <v/>
      </c>
      <c r="U139" s="1" t="str">
        <f>IFERROR(VLOOKUP(CZ139,スクリプト_フロー!$A:$F,4,FALSE),"")</f>
        <v/>
      </c>
      <c r="V139" s="6" t="str">
        <f t="shared" si="38"/>
        <v/>
      </c>
      <c r="W139" s="6"/>
      <c r="X139" s="4" t="str">
        <f>IF(DC139="","",SUBSTITUTE(SUBSTITUTE(SUBSTITUTE(SUBSTITUTE(SUBSTITUTE(SUBSTITUTE(SUBSTITUTE(SUBSTITUTE(SUBSTITUTE(SUBSTITUTE(SUBSTITUTE(DC139,"{会社}",設定!$B$3),"{自分}",設定!$B$4),"{サービス}",設定!$B$5),"{料金}",設定!$B$7),"{日付1}",設定!$B$8),"{日付2}",設定!$B$9),"{時間1}",設定!$B$10),"{時間2}",設定!$B$11),"{時間}","（指定時間）"),"{日付確定}","（確定日）"),"{時間確定}","（確定時間）"))</f>
        <v/>
      </c>
      <c r="Y139" s="1" t="str">
        <f>IFERROR(VLOOKUP(DB139,スクリプト_フロー!$A:$F,4,FALSE),"")</f>
        <v/>
      </c>
      <c r="Z139" s="6" t="str">
        <f t="shared" si="39"/>
        <v/>
      </c>
      <c r="AA139" s="6"/>
      <c r="AB139" s="4" t="str">
        <f>IF(DE139="","",SUBSTITUTE(SUBSTITUTE(SUBSTITUTE(SUBSTITUTE(SUBSTITUTE(SUBSTITUTE(SUBSTITUTE(SUBSTITUTE(SUBSTITUTE(SUBSTITUTE(SUBSTITUTE(DE139,"{会社}",設定!$B$3),"{自分}",設定!$B$4),"{サービス}",設定!$B$5),"{料金}",設定!$B$7),"{日付1}",設定!$B$8),"{日付2}",設定!$B$9),"{時間1}",設定!$B$10),"{時間2}",設定!$B$11),"{時間}","（指定時間）"),"{日付確定}","（確定日）"),"{時間確定}","（確定時間）"))</f>
        <v/>
      </c>
      <c r="AC139" s="1" t="str">
        <f>IFERROR(VLOOKUP(DD139,スクリプト_フロー!$A:$F,4,FALSE),"")</f>
        <v/>
      </c>
      <c r="AD139" s="6" t="str">
        <f t="shared" si="40"/>
        <v/>
      </c>
      <c r="AE139" s="6"/>
      <c r="AF139" s="4" t="str">
        <f>IF(DG139="","",SUBSTITUTE(SUBSTITUTE(SUBSTITUTE(SUBSTITUTE(SUBSTITUTE(SUBSTITUTE(SUBSTITUTE(SUBSTITUTE(SUBSTITUTE(SUBSTITUTE(SUBSTITUTE(DG139,"{会社}",設定!$B$3),"{自分}",設定!$B$4),"{サービス}",設定!$B$5),"{料金}",設定!$B$7),"{日付1}",設定!$B$8),"{日付2}",設定!$B$9),"{時間1}",設定!$B$10),"{時間2}",設定!$B$11),"{時間}","（指定時間）"),"{日付確定}","（確定日）"),"{時間確定}","（確定時間）"))</f>
        <v/>
      </c>
      <c r="AG139" s="1" t="str">
        <f>IFERROR(VLOOKUP(DF139,スクリプト_フロー!$A:$F,4,FALSE),"")</f>
        <v/>
      </c>
      <c r="CZ139" s="1" t="str">
        <f t="shared" si="41"/>
        <v>|</v>
      </c>
      <c r="DA139" s="1" t="str">
        <f>IFERROR(VLOOKUP(CZ139,スクリプト_フロー!$A:$F,5,FALSE),"")</f>
        <v/>
      </c>
      <c r="DB139" s="1" t="str">
        <f t="shared" si="42"/>
        <v>|</v>
      </c>
      <c r="DC139" s="1" t="str">
        <f>IFERROR(VLOOKUP(DB139,スクリプト_フロー!$A:$F,5,FALSE),"")</f>
        <v/>
      </c>
      <c r="DD139" s="1" t="str">
        <f t="shared" si="43"/>
        <v>|</v>
      </c>
      <c r="DE139" s="1" t="str">
        <f>IFERROR(VLOOKUP(DD139,スクリプト_フロー!$A:$F,5,FALSE),"")</f>
        <v/>
      </c>
      <c r="DF139" s="1" t="str">
        <f t="shared" si="44"/>
        <v>|</v>
      </c>
      <c r="DG139" s="1" t="str">
        <f>IFERROR(VLOOKUP(DF139,スクリプト_フロー!$A:$F,5,FALSE),"")</f>
        <v/>
      </c>
    </row>
    <row r="140" spans="1:111" ht="21">
      <c r="A140" s="1">
        <v>139</v>
      </c>
      <c r="B140" s="1" t="s">
        <v>357</v>
      </c>
      <c r="C140" s="1" t="s">
        <v>312</v>
      </c>
      <c r="D140" s="1" t="s">
        <v>62</v>
      </c>
      <c r="E140" s="6"/>
      <c r="F140" s="6"/>
      <c r="G140" s="6" t="s">
        <v>34</v>
      </c>
      <c r="H140" s="6"/>
      <c r="I140" s="4" t="str">
        <f>SUBSTITUTE(SUBSTITUTE(SUBSTITUTE(SUBSTITUTE(SUBSTITUTE(SUBSTITUTE(SUBSTITUTE(SUBSTITUTE(SUBSTITUTE(SUBSTITUTE(SUBSTITUTE(Q140,"{会社}",設定!$B$3),"{自分}",設定!$B$4),"{サービス}",設定!$B$5),"{料金}",設定!$B$7),"{日付1}",設定!$B$8),"{日付2}",設定!$B$9),"{時間1}",設定!$B$10),"{時間2}",設定!$B$11),"{時間}","（指定時間）"),"{日付確定}","（確定日）"),"{時間確定}","（確定時間）")</f>
        <v/>
      </c>
      <c r="J140" s="1" t="str">
        <f>IFERROR(VLOOKUP(P140,スクリプト_フロー!$A:$F,4,FALSE),"")</f>
        <v/>
      </c>
      <c r="K140" s="6" t="s">
        <v>35</v>
      </c>
      <c r="L140" s="6"/>
      <c r="M140" s="6"/>
      <c r="N140" s="6"/>
      <c r="O140" s="1"/>
      <c r="P140" s="1" t="str">
        <f t="shared" si="36"/>
        <v>①架電|</v>
      </c>
      <c r="Q140" s="1" t="str">
        <f>IFERROR(VLOOKUP(P140,スクリプト_フロー!$A:$F,5,FALSE),"")</f>
        <v/>
      </c>
      <c r="R140" s="6" t="str">
        <f t="shared" si="37"/>
        <v/>
      </c>
      <c r="S140" s="6"/>
      <c r="T140" s="4" t="str">
        <f>IF(DA140="","",SUBSTITUTE(SUBSTITUTE(SUBSTITUTE(SUBSTITUTE(SUBSTITUTE(SUBSTITUTE(SUBSTITUTE(SUBSTITUTE(SUBSTITUTE(SUBSTITUTE(SUBSTITUTE(DA140,"{会社}",設定!$B$3),"{自分}",設定!$B$4),"{サービス}",設定!$B$5),"{料金}",設定!$B$7),"{日付1}",設定!$B$8),"{日付2}",設定!$B$9),"{時間1}",設定!$B$10),"{時間2}",設定!$B$11),"{時間}","（指定時間）"),"{日付確定}","（確定日）"),"{時間確定}","（確定時間）"))</f>
        <v/>
      </c>
      <c r="U140" s="1" t="str">
        <f>IFERROR(VLOOKUP(CZ140,スクリプト_フロー!$A:$F,4,FALSE),"")</f>
        <v/>
      </c>
      <c r="V140" s="6" t="str">
        <f t="shared" si="38"/>
        <v/>
      </c>
      <c r="W140" s="6"/>
      <c r="X140" s="4" t="str">
        <f>IF(DC140="","",SUBSTITUTE(SUBSTITUTE(SUBSTITUTE(SUBSTITUTE(SUBSTITUTE(SUBSTITUTE(SUBSTITUTE(SUBSTITUTE(SUBSTITUTE(SUBSTITUTE(SUBSTITUTE(DC140,"{会社}",設定!$B$3),"{自分}",設定!$B$4),"{サービス}",設定!$B$5),"{料金}",設定!$B$7),"{日付1}",設定!$B$8),"{日付2}",設定!$B$9),"{時間1}",設定!$B$10),"{時間2}",設定!$B$11),"{時間}","（指定時間）"),"{日付確定}","（確定日）"),"{時間確定}","（確定時間）"))</f>
        <v/>
      </c>
      <c r="Y140" s="1" t="str">
        <f>IFERROR(VLOOKUP(DB140,スクリプト_フロー!$A:$F,4,FALSE),"")</f>
        <v/>
      </c>
      <c r="Z140" s="6" t="str">
        <f t="shared" si="39"/>
        <v/>
      </c>
      <c r="AA140" s="6"/>
      <c r="AB140" s="4" t="str">
        <f>IF(DE140="","",SUBSTITUTE(SUBSTITUTE(SUBSTITUTE(SUBSTITUTE(SUBSTITUTE(SUBSTITUTE(SUBSTITUTE(SUBSTITUTE(SUBSTITUTE(SUBSTITUTE(SUBSTITUTE(DE140,"{会社}",設定!$B$3),"{自分}",設定!$B$4),"{サービス}",設定!$B$5),"{料金}",設定!$B$7),"{日付1}",設定!$B$8),"{日付2}",設定!$B$9),"{時間1}",設定!$B$10),"{時間2}",設定!$B$11),"{時間}","（指定時間）"),"{日付確定}","（確定日）"),"{時間確定}","（確定時間）"))</f>
        <v/>
      </c>
      <c r="AC140" s="1" t="str">
        <f>IFERROR(VLOOKUP(DD140,スクリプト_フロー!$A:$F,4,FALSE),"")</f>
        <v/>
      </c>
      <c r="AD140" s="6" t="str">
        <f t="shared" si="40"/>
        <v/>
      </c>
      <c r="AE140" s="6"/>
      <c r="AF140" s="4" t="str">
        <f>IF(DG140="","",SUBSTITUTE(SUBSTITUTE(SUBSTITUTE(SUBSTITUTE(SUBSTITUTE(SUBSTITUTE(SUBSTITUTE(SUBSTITUTE(SUBSTITUTE(SUBSTITUTE(SUBSTITUTE(DG140,"{会社}",設定!$B$3),"{自分}",設定!$B$4),"{サービス}",設定!$B$5),"{料金}",設定!$B$7),"{日付1}",設定!$B$8),"{日付2}",設定!$B$9),"{時間1}",設定!$B$10),"{時間2}",設定!$B$11),"{時間}","（指定時間）"),"{日付確定}","（確定日）"),"{時間確定}","（確定時間）"))</f>
        <v/>
      </c>
      <c r="AG140" s="1" t="str">
        <f>IFERROR(VLOOKUP(DF140,スクリプト_フロー!$A:$F,4,FALSE),"")</f>
        <v/>
      </c>
      <c r="CZ140" s="1" t="str">
        <f t="shared" si="41"/>
        <v>|</v>
      </c>
      <c r="DA140" s="1" t="str">
        <f>IFERROR(VLOOKUP(CZ140,スクリプト_フロー!$A:$F,5,FALSE),"")</f>
        <v/>
      </c>
      <c r="DB140" s="1" t="str">
        <f t="shared" si="42"/>
        <v>|</v>
      </c>
      <c r="DC140" s="1" t="str">
        <f>IFERROR(VLOOKUP(DB140,スクリプト_フロー!$A:$F,5,FALSE),"")</f>
        <v/>
      </c>
      <c r="DD140" s="1" t="str">
        <f t="shared" si="43"/>
        <v>|</v>
      </c>
      <c r="DE140" s="1" t="str">
        <f>IFERROR(VLOOKUP(DD140,スクリプト_フロー!$A:$F,5,FALSE),"")</f>
        <v/>
      </c>
      <c r="DF140" s="1" t="str">
        <f t="shared" si="44"/>
        <v>|</v>
      </c>
      <c r="DG140" s="1" t="str">
        <f>IFERROR(VLOOKUP(DF140,スクリプト_フロー!$A:$F,5,FALSE),"")</f>
        <v/>
      </c>
    </row>
    <row r="141" spans="1:111" ht="21">
      <c r="A141" s="1">
        <v>140</v>
      </c>
      <c r="B141" s="1" t="s">
        <v>358</v>
      </c>
      <c r="C141" s="1" t="s">
        <v>346</v>
      </c>
      <c r="D141" s="1" t="s">
        <v>62</v>
      </c>
      <c r="E141" s="6"/>
      <c r="F141" s="6"/>
      <c r="G141" s="6" t="s">
        <v>34</v>
      </c>
      <c r="H141" s="6"/>
      <c r="I141" s="4" t="str">
        <f>SUBSTITUTE(SUBSTITUTE(SUBSTITUTE(SUBSTITUTE(SUBSTITUTE(SUBSTITUTE(SUBSTITUTE(SUBSTITUTE(SUBSTITUTE(SUBSTITUTE(SUBSTITUTE(Q141,"{会社}",設定!$B$3),"{自分}",設定!$B$4),"{サービス}",設定!$B$5),"{料金}",設定!$B$7),"{日付1}",設定!$B$8),"{日付2}",設定!$B$9),"{時間1}",設定!$B$10),"{時間2}",設定!$B$11),"{時間}","（指定時間）"),"{日付確定}","（確定日）"),"{時間確定}","（確定時間）")</f>
        <v/>
      </c>
      <c r="J141" s="1" t="str">
        <f>IFERROR(VLOOKUP(P141,スクリプト_フロー!$A:$F,4,FALSE),"")</f>
        <v/>
      </c>
      <c r="K141" s="6" t="s">
        <v>35</v>
      </c>
      <c r="L141" s="6"/>
      <c r="M141" s="6"/>
      <c r="N141" s="6"/>
      <c r="O141" s="1"/>
      <c r="P141" s="1" t="str">
        <f t="shared" si="36"/>
        <v>①架電|</v>
      </c>
      <c r="Q141" s="1" t="str">
        <f>IFERROR(VLOOKUP(P141,スクリプト_フロー!$A:$F,5,FALSE),"")</f>
        <v/>
      </c>
      <c r="R141" s="6" t="str">
        <f t="shared" si="37"/>
        <v/>
      </c>
      <c r="S141" s="6"/>
      <c r="T141" s="4" t="str">
        <f>IF(DA141="","",SUBSTITUTE(SUBSTITUTE(SUBSTITUTE(SUBSTITUTE(SUBSTITUTE(SUBSTITUTE(SUBSTITUTE(SUBSTITUTE(SUBSTITUTE(SUBSTITUTE(SUBSTITUTE(DA141,"{会社}",設定!$B$3),"{自分}",設定!$B$4),"{サービス}",設定!$B$5),"{料金}",設定!$B$7),"{日付1}",設定!$B$8),"{日付2}",設定!$B$9),"{時間1}",設定!$B$10),"{時間2}",設定!$B$11),"{時間}","（指定時間）"),"{日付確定}","（確定日）"),"{時間確定}","（確定時間）"))</f>
        <v/>
      </c>
      <c r="U141" s="1" t="str">
        <f>IFERROR(VLOOKUP(CZ141,スクリプト_フロー!$A:$F,4,FALSE),"")</f>
        <v/>
      </c>
      <c r="V141" s="6" t="str">
        <f t="shared" si="38"/>
        <v/>
      </c>
      <c r="W141" s="6"/>
      <c r="X141" s="4" t="str">
        <f>IF(DC141="","",SUBSTITUTE(SUBSTITUTE(SUBSTITUTE(SUBSTITUTE(SUBSTITUTE(SUBSTITUTE(SUBSTITUTE(SUBSTITUTE(SUBSTITUTE(SUBSTITUTE(SUBSTITUTE(DC141,"{会社}",設定!$B$3),"{自分}",設定!$B$4),"{サービス}",設定!$B$5),"{料金}",設定!$B$7),"{日付1}",設定!$B$8),"{日付2}",設定!$B$9),"{時間1}",設定!$B$10),"{時間2}",設定!$B$11),"{時間}","（指定時間）"),"{日付確定}","（確定日）"),"{時間確定}","（確定時間）"))</f>
        <v/>
      </c>
      <c r="Y141" s="1" t="str">
        <f>IFERROR(VLOOKUP(DB141,スクリプト_フロー!$A:$F,4,FALSE),"")</f>
        <v/>
      </c>
      <c r="Z141" s="6" t="str">
        <f t="shared" si="39"/>
        <v/>
      </c>
      <c r="AA141" s="6"/>
      <c r="AB141" s="4" t="str">
        <f>IF(DE141="","",SUBSTITUTE(SUBSTITUTE(SUBSTITUTE(SUBSTITUTE(SUBSTITUTE(SUBSTITUTE(SUBSTITUTE(SUBSTITUTE(SUBSTITUTE(SUBSTITUTE(SUBSTITUTE(DE141,"{会社}",設定!$B$3),"{自分}",設定!$B$4),"{サービス}",設定!$B$5),"{料金}",設定!$B$7),"{日付1}",設定!$B$8),"{日付2}",設定!$B$9),"{時間1}",設定!$B$10),"{時間2}",設定!$B$11),"{時間}","（指定時間）"),"{日付確定}","（確定日）"),"{時間確定}","（確定時間）"))</f>
        <v/>
      </c>
      <c r="AC141" s="1" t="str">
        <f>IFERROR(VLOOKUP(DD141,スクリプト_フロー!$A:$F,4,FALSE),"")</f>
        <v/>
      </c>
      <c r="AD141" s="6" t="str">
        <f t="shared" si="40"/>
        <v/>
      </c>
      <c r="AE141" s="6"/>
      <c r="AF141" s="4" t="str">
        <f>IF(DG141="","",SUBSTITUTE(SUBSTITUTE(SUBSTITUTE(SUBSTITUTE(SUBSTITUTE(SUBSTITUTE(SUBSTITUTE(SUBSTITUTE(SUBSTITUTE(SUBSTITUTE(SUBSTITUTE(DG141,"{会社}",設定!$B$3),"{自分}",設定!$B$4),"{サービス}",設定!$B$5),"{料金}",設定!$B$7),"{日付1}",設定!$B$8),"{日付2}",設定!$B$9),"{時間1}",設定!$B$10),"{時間2}",設定!$B$11),"{時間}","（指定時間）"),"{日付確定}","（確定日）"),"{時間確定}","（確定時間）"))</f>
        <v/>
      </c>
      <c r="AG141" s="1" t="str">
        <f>IFERROR(VLOOKUP(DF141,スクリプト_フロー!$A:$F,4,FALSE),"")</f>
        <v/>
      </c>
      <c r="CZ141" s="1" t="str">
        <f t="shared" si="41"/>
        <v>|</v>
      </c>
      <c r="DA141" s="1" t="str">
        <f>IFERROR(VLOOKUP(CZ141,スクリプト_フロー!$A:$F,5,FALSE),"")</f>
        <v/>
      </c>
      <c r="DB141" s="1" t="str">
        <f t="shared" si="42"/>
        <v>|</v>
      </c>
      <c r="DC141" s="1" t="str">
        <f>IFERROR(VLOOKUP(DB141,スクリプト_フロー!$A:$F,5,FALSE),"")</f>
        <v/>
      </c>
      <c r="DD141" s="1" t="str">
        <f t="shared" si="43"/>
        <v>|</v>
      </c>
      <c r="DE141" s="1" t="str">
        <f>IFERROR(VLOOKUP(DD141,スクリプト_フロー!$A:$F,5,FALSE),"")</f>
        <v/>
      </c>
      <c r="DF141" s="1" t="str">
        <f t="shared" si="44"/>
        <v>|</v>
      </c>
      <c r="DG141" s="1" t="str">
        <f>IFERROR(VLOOKUP(DF141,スクリプト_フロー!$A:$F,5,FALSE),"")</f>
        <v/>
      </c>
    </row>
    <row r="142" spans="1:111" ht="21">
      <c r="A142" s="1">
        <v>141</v>
      </c>
      <c r="B142" s="1" t="s">
        <v>359</v>
      </c>
      <c r="C142" s="1" t="s">
        <v>346</v>
      </c>
      <c r="D142" s="1" t="s">
        <v>62</v>
      </c>
      <c r="E142" s="6"/>
      <c r="F142" s="6"/>
      <c r="G142" s="6" t="s">
        <v>34</v>
      </c>
      <c r="H142" s="6"/>
      <c r="I142" s="4" t="str">
        <f>SUBSTITUTE(SUBSTITUTE(SUBSTITUTE(SUBSTITUTE(SUBSTITUTE(SUBSTITUTE(SUBSTITUTE(SUBSTITUTE(SUBSTITUTE(SUBSTITUTE(SUBSTITUTE(Q142,"{会社}",設定!$B$3),"{自分}",設定!$B$4),"{サービス}",設定!$B$5),"{料金}",設定!$B$7),"{日付1}",設定!$B$8),"{日付2}",設定!$B$9),"{時間1}",設定!$B$10),"{時間2}",設定!$B$11),"{時間}","（指定時間）"),"{日付確定}","（確定日）"),"{時間確定}","（確定時間）")</f>
        <v/>
      </c>
      <c r="J142" s="1" t="str">
        <f>IFERROR(VLOOKUP(P142,スクリプト_フロー!$A:$F,4,FALSE),"")</f>
        <v/>
      </c>
      <c r="K142" s="6" t="s">
        <v>35</v>
      </c>
      <c r="L142" s="6"/>
      <c r="M142" s="6"/>
      <c r="N142" s="6"/>
      <c r="O142" s="1"/>
      <c r="P142" s="1" t="str">
        <f t="shared" si="36"/>
        <v>①架電|</v>
      </c>
      <c r="Q142" s="1" t="str">
        <f>IFERROR(VLOOKUP(P142,スクリプト_フロー!$A:$F,5,FALSE),"")</f>
        <v/>
      </c>
      <c r="R142" s="6" t="str">
        <f t="shared" si="37"/>
        <v/>
      </c>
      <c r="S142" s="6"/>
      <c r="T142" s="4" t="str">
        <f>IF(DA142="","",SUBSTITUTE(SUBSTITUTE(SUBSTITUTE(SUBSTITUTE(SUBSTITUTE(SUBSTITUTE(SUBSTITUTE(SUBSTITUTE(SUBSTITUTE(SUBSTITUTE(SUBSTITUTE(DA142,"{会社}",設定!$B$3),"{自分}",設定!$B$4),"{サービス}",設定!$B$5),"{料金}",設定!$B$7),"{日付1}",設定!$B$8),"{日付2}",設定!$B$9),"{時間1}",設定!$B$10),"{時間2}",設定!$B$11),"{時間}","（指定時間）"),"{日付確定}","（確定日）"),"{時間確定}","（確定時間）"))</f>
        <v/>
      </c>
      <c r="U142" s="1" t="str">
        <f>IFERROR(VLOOKUP(CZ142,スクリプト_フロー!$A:$F,4,FALSE),"")</f>
        <v/>
      </c>
      <c r="V142" s="6" t="str">
        <f t="shared" si="38"/>
        <v/>
      </c>
      <c r="W142" s="6"/>
      <c r="X142" s="4" t="str">
        <f>IF(DC142="","",SUBSTITUTE(SUBSTITUTE(SUBSTITUTE(SUBSTITUTE(SUBSTITUTE(SUBSTITUTE(SUBSTITUTE(SUBSTITUTE(SUBSTITUTE(SUBSTITUTE(SUBSTITUTE(DC142,"{会社}",設定!$B$3),"{自分}",設定!$B$4),"{サービス}",設定!$B$5),"{料金}",設定!$B$7),"{日付1}",設定!$B$8),"{日付2}",設定!$B$9),"{時間1}",設定!$B$10),"{時間2}",設定!$B$11),"{時間}","（指定時間）"),"{日付確定}","（確定日）"),"{時間確定}","（確定時間）"))</f>
        <v/>
      </c>
      <c r="Y142" s="1" t="str">
        <f>IFERROR(VLOOKUP(DB142,スクリプト_フロー!$A:$F,4,FALSE),"")</f>
        <v/>
      </c>
      <c r="Z142" s="6" t="str">
        <f t="shared" si="39"/>
        <v/>
      </c>
      <c r="AA142" s="6"/>
      <c r="AB142" s="4" t="str">
        <f>IF(DE142="","",SUBSTITUTE(SUBSTITUTE(SUBSTITUTE(SUBSTITUTE(SUBSTITUTE(SUBSTITUTE(SUBSTITUTE(SUBSTITUTE(SUBSTITUTE(SUBSTITUTE(SUBSTITUTE(DE142,"{会社}",設定!$B$3),"{自分}",設定!$B$4),"{サービス}",設定!$B$5),"{料金}",設定!$B$7),"{日付1}",設定!$B$8),"{日付2}",設定!$B$9),"{時間1}",設定!$B$10),"{時間2}",設定!$B$11),"{時間}","（指定時間）"),"{日付確定}","（確定日）"),"{時間確定}","（確定時間）"))</f>
        <v/>
      </c>
      <c r="AC142" s="1" t="str">
        <f>IFERROR(VLOOKUP(DD142,スクリプト_フロー!$A:$F,4,FALSE),"")</f>
        <v/>
      </c>
      <c r="AD142" s="6" t="str">
        <f t="shared" si="40"/>
        <v/>
      </c>
      <c r="AE142" s="6"/>
      <c r="AF142" s="4" t="str">
        <f>IF(DG142="","",SUBSTITUTE(SUBSTITUTE(SUBSTITUTE(SUBSTITUTE(SUBSTITUTE(SUBSTITUTE(SUBSTITUTE(SUBSTITUTE(SUBSTITUTE(SUBSTITUTE(SUBSTITUTE(DG142,"{会社}",設定!$B$3),"{自分}",設定!$B$4),"{サービス}",設定!$B$5),"{料金}",設定!$B$7),"{日付1}",設定!$B$8),"{日付2}",設定!$B$9),"{時間1}",設定!$B$10),"{時間2}",設定!$B$11),"{時間}","（指定時間）"),"{日付確定}","（確定日）"),"{時間確定}","（確定時間）"))</f>
        <v/>
      </c>
      <c r="AG142" s="1" t="str">
        <f>IFERROR(VLOOKUP(DF142,スクリプト_フロー!$A:$F,4,FALSE),"")</f>
        <v/>
      </c>
      <c r="CZ142" s="1" t="str">
        <f t="shared" si="41"/>
        <v>|</v>
      </c>
      <c r="DA142" s="1" t="str">
        <f>IFERROR(VLOOKUP(CZ142,スクリプト_フロー!$A:$F,5,FALSE),"")</f>
        <v/>
      </c>
      <c r="DB142" s="1" t="str">
        <f t="shared" si="42"/>
        <v>|</v>
      </c>
      <c r="DC142" s="1" t="str">
        <f>IFERROR(VLOOKUP(DB142,スクリプト_フロー!$A:$F,5,FALSE),"")</f>
        <v/>
      </c>
      <c r="DD142" s="1" t="str">
        <f t="shared" si="43"/>
        <v>|</v>
      </c>
      <c r="DE142" s="1" t="str">
        <f>IFERROR(VLOOKUP(DD142,スクリプト_フロー!$A:$F,5,FALSE),"")</f>
        <v/>
      </c>
      <c r="DF142" s="1" t="str">
        <f t="shared" si="44"/>
        <v>|</v>
      </c>
      <c r="DG142" s="1" t="str">
        <f>IFERROR(VLOOKUP(DF142,スクリプト_フロー!$A:$F,5,FALSE),"")</f>
        <v/>
      </c>
    </row>
    <row r="143" spans="1:111" ht="21">
      <c r="A143" s="1">
        <v>142</v>
      </c>
      <c r="B143" s="1" t="s">
        <v>360</v>
      </c>
      <c r="C143" s="1" t="s">
        <v>221</v>
      </c>
      <c r="D143" s="1" t="s">
        <v>222</v>
      </c>
      <c r="E143" s="6"/>
      <c r="F143" s="6"/>
      <c r="G143" s="6" t="s">
        <v>34</v>
      </c>
      <c r="H143" s="6"/>
      <c r="I143" s="4" t="str">
        <f>SUBSTITUTE(SUBSTITUTE(SUBSTITUTE(SUBSTITUTE(SUBSTITUTE(SUBSTITUTE(SUBSTITUTE(SUBSTITUTE(SUBSTITUTE(SUBSTITUTE(SUBSTITUTE(Q143,"{会社}",設定!$B$3),"{自分}",設定!$B$4),"{サービス}",設定!$B$5),"{料金}",設定!$B$7),"{日付1}",設定!$B$8),"{日付2}",設定!$B$9),"{時間1}",設定!$B$10),"{時間2}",設定!$B$11),"{時間}","（指定時間）"),"{日付確定}","（確定日）"),"{時間確定}","（確定時間）")</f>
        <v/>
      </c>
      <c r="J143" s="1" t="str">
        <f>IFERROR(VLOOKUP(P143,スクリプト_フロー!$A:$F,4,FALSE),"")</f>
        <v/>
      </c>
      <c r="K143" s="6" t="s">
        <v>35</v>
      </c>
      <c r="L143" s="6"/>
      <c r="M143" s="6"/>
      <c r="N143" s="6"/>
      <c r="O143" s="1"/>
      <c r="P143" s="1" t="str">
        <f t="shared" si="36"/>
        <v>①架電|</v>
      </c>
      <c r="Q143" s="1" t="str">
        <f>IFERROR(VLOOKUP(P143,スクリプト_フロー!$A:$F,5,FALSE),"")</f>
        <v/>
      </c>
      <c r="R143" s="6" t="str">
        <f t="shared" si="37"/>
        <v/>
      </c>
      <c r="S143" s="6"/>
      <c r="T143" s="4" t="str">
        <f>IF(DA143="","",SUBSTITUTE(SUBSTITUTE(SUBSTITUTE(SUBSTITUTE(SUBSTITUTE(SUBSTITUTE(SUBSTITUTE(SUBSTITUTE(SUBSTITUTE(SUBSTITUTE(SUBSTITUTE(DA143,"{会社}",設定!$B$3),"{自分}",設定!$B$4),"{サービス}",設定!$B$5),"{料金}",設定!$B$7),"{日付1}",設定!$B$8),"{日付2}",設定!$B$9),"{時間1}",設定!$B$10),"{時間2}",設定!$B$11),"{時間}","（指定時間）"),"{日付確定}","（確定日）"),"{時間確定}","（確定時間）"))</f>
        <v/>
      </c>
      <c r="U143" s="1" t="str">
        <f>IFERROR(VLOOKUP(CZ143,スクリプト_フロー!$A:$F,4,FALSE),"")</f>
        <v/>
      </c>
      <c r="V143" s="6" t="str">
        <f t="shared" si="38"/>
        <v/>
      </c>
      <c r="W143" s="6"/>
      <c r="X143" s="4" t="str">
        <f>IF(DC143="","",SUBSTITUTE(SUBSTITUTE(SUBSTITUTE(SUBSTITUTE(SUBSTITUTE(SUBSTITUTE(SUBSTITUTE(SUBSTITUTE(SUBSTITUTE(SUBSTITUTE(SUBSTITUTE(DC143,"{会社}",設定!$B$3),"{自分}",設定!$B$4),"{サービス}",設定!$B$5),"{料金}",設定!$B$7),"{日付1}",設定!$B$8),"{日付2}",設定!$B$9),"{時間1}",設定!$B$10),"{時間2}",設定!$B$11),"{時間}","（指定時間）"),"{日付確定}","（確定日）"),"{時間確定}","（確定時間）"))</f>
        <v/>
      </c>
      <c r="Y143" s="1" t="str">
        <f>IFERROR(VLOOKUP(DB143,スクリプト_フロー!$A:$F,4,FALSE),"")</f>
        <v/>
      </c>
      <c r="Z143" s="6" t="str">
        <f t="shared" si="39"/>
        <v/>
      </c>
      <c r="AA143" s="6"/>
      <c r="AB143" s="4" t="str">
        <f>IF(DE143="","",SUBSTITUTE(SUBSTITUTE(SUBSTITUTE(SUBSTITUTE(SUBSTITUTE(SUBSTITUTE(SUBSTITUTE(SUBSTITUTE(SUBSTITUTE(SUBSTITUTE(SUBSTITUTE(DE143,"{会社}",設定!$B$3),"{自分}",設定!$B$4),"{サービス}",設定!$B$5),"{料金}",設定!$B$7),"{日付1}",設定!$B$8),"{日付2}",設定!$B$9),"{時間1}",設定!$B$10),"{時間2}",設定!$B$11),"{時間}","（指定時間）"),"{日付確定}","（確定日）"),"{時間確定}","（確定時間）"))</f>
        <v/>
      </c>
      <c r="AC143" s="1" t="str">
        <f>IFERROR(VLOOKUP(DD143,スクリプト_フロー!$A:$F,4,FALSE),"")</f>
        <v/>
      </c>
      <c r="AD143" s="6" t="str">
        <f t="shared" si="40"/>
        <v/>
      </c>
      <c r="AE143" s="6"/>
      <c r="AF143" s="4" t="str">
        <f>IF(DG143="","",SUBSTITUTE(SUBSTITUTE(SUBSTITUTE(SUBSTITUTE(SUBSTITUTE(SUBSTITUTE(SUBSTITUTE(SUBSTITUTE(SUBSTITUTE(SUBSTITUTE(SUBSTITUTE(DG143,"{会社}",設定!$B$3),"{自分}",設定!$B$4),"{サービス}",設定!$B$5),"{料金}",設定!$B$7),"{日付1}",設定!$B$8),"{日付2}",設定!$B$9),"{時間1}",設定!$B$10),"{時間2}",設定!$B$11),"{時間}","（指定時間）"),"{日付確定}","（確定日）"),"{時間確定}","（確定時間）"))</f>
        <v/>
      </c>
      <c r="AG143" s="1" t="str">
        <f>IFERROR(VLOOKUP(DF143,スクリプト_フロー!$A:$F,4,FALSE),"")</f>
        <v/>
      </c>
      <c r="CZ143" s="1" t="str">
        <f t="shared" si="41"/>
        <v>|</v>
      </c>
      <c r="DA143" s="1" t="str">
        <f>IFERROR(VLOOKUP(CZ143,スクリプト_フロー!$A:$F,5,FALSE),"")</f>
        <v/>
      </c>
      <c r="DB143" s="1" t="str">
        <f t="shared" si="42"/>
        <v>|</v>
      </c>
      <c r="DC143" s="1" t="str">
        <f>IFERROR(VLOOKUP(DB143,スクリプト_フロー!$A:$F,5,FALSE),"")</f>
        <v/>
      </c>
      <c r="DD143" s="1" t="str">
        <f t="shared" si="43"/>
        <v>|</v>
      </c>
      <c r="DE143" s="1" t="str">
        <f>IFERROR(VLOOKUP(DD143,スクリプト_フロー!$A:$F,5,FALSE),"")</f>
        <v/>
      </c>
      <c r="DF143" s="1" t="str">
        <f t="shared" si="44"/>
        <v>|</v>
      </c>
      <c r="DG143" s="1" t="str">
        <f>IFERROR(VLOOKUP(DF143,スクリプト_フロー!$A:$F,5,FALSE),"")</f>
        <v/>
      </c>
    </row>
    <row r="144" spans="1:111" ht="21">
      <c r="A144" s="1">
        <v>143</v>
      </c>
      <c r="B144" s="1" t="s">
        <v>361</v>
      </c>
      <c r="C144" s="1" t="s">
        <v>154</v>
      </c>
      <c r="D144" s="1" t="s">
        <v>143</v>
      </c>
      <c r="E144" s="6"/>
      <c r="F144" s="6"/>
      <c r="G144" s="6" t="s">
        <v>34</v>
      </c>
      <c r="H144" s="6"/>
      <c r="I144" s="4" t="str">
        <f>SUBSTITUTE(SUBSTITUTE(SUBSTITUTE(SUBSTITUTE(SUBSTITUTE(SUBSTITUTE(SUBSTITUTE(SUBSTITUTE(SUBSTITUTE(SUBSTITUTE(SUBSTITUTE(Q144,"{会社}",設定!$B$3),"{自分}",設定!$B$4),"{サービス}",設定!$B$5),"{料金}",設定!$B$7),"{日付1}",設定!$B$8),"{日付2}",設定!$B$9),"{時間1}",設定!$B$10),"{時間2}",設定!$B$11),"{時間}","（指定時間）"),"{日付確定}","（確定日）"),"{時間確定}","（確定時間）")</f>
        <v/>
      </c>
      <c r="J144" s="1" t="str">
        <f>IFERROR(VLOOKUP(P144,スクリプト_フロー!$A:$F,4,FALSE),"")</f>
        <v/>
      </c>
      <c r="K144" s="6" t="s">
        <v>35</v>
      </c>
      <c r="L144" s="6"/>
      <c r="M144" s="6"/>
      <c r="N144" s="6"/>
      <c r="O144" s="1"/>
      <c r="P144" s="1" t="str">
        <f t="shared" si="36"/>
        <v>①架電|</v>
      </c>
      <c r="Q144" s="1" t="str">
        <f>IFERROR(VLOOKUP(P144,スクリプト_フロー!$A:$F,5,FALSE),"")</f>
        <v/>
      </c>
      <c r="R144" s="6" t="str">
        <f t="shared" si="37"/>
        <v/>
      </c>
      <c r="S144" s="6"/>
      <c r="T144" s="4" t="str">
        <f>IF(DA144="","",SUBSTITUTE(SUBSTITUTE(SUBSTITUTE(SUBSTITUTE(SUBSTITUTE(SUBSTITUTE(SUBSTITUTE(SUBSTITUTE(SUBSTITUTE(SUBSTITUTE(SUBSTITUTE(DA144,"{会社}",設定!$B$3),"{自分}",設定!$B$4),"{サービス}",設定!$B$5),"{料金}",設定!$B$7),"{日付1}",設定!$B$8),"{日付2}",設定!$B$9),"{時間1}",設定!$B$10),"{時間2}",設定!$B$11),"{時間}","（指定時間）"),"{日付確定}","（確定日）"),"{時間確定}","（確定時間）"))</f>
        <v/>
      </c>
      <c r="U144" s="1" t="str">
        <f>IFERROR(VLOOKUP(CZ144,スクリプト_フロー!$A:$F,4,FALSE),"")</f>
        <v/>
      </c>
      <c r="V144" s="6" t="str">
        <f t="shared" si="38"/>
        <v/>
      </c>
      <c r="W144" s="6"/>
      <c r="X144" s="4" t="str">
        <f>IF(DC144="","",SUBSTITUTE(SUBSTITUTE(SUBSTITUTE(SUBSTITUTE(SUBSTITUTE(SUBSTITUTE(SUBSTITUTE(SUBSTITUTE(SUBSTITUTE(SUBSTITUTE(SUBSTITUTE(DC144,"{会社}",設定!$B$3),"{自分}",設定!$B$4),"{サービス}",設定!$B$5),"{料金}",設定!$B$7),"{日付1}",設定!$B$8),"{日付2}",設定!$B$9),"{時間1}",設定!$B$10),"{時間2}",設定!$B$11),"{時間}","（指定時間）"),"{日付確定}","（確定日）"),"{時間確定}","（確定時間）"))</f>
        <v/>
      </c>
      <c r="Y144" s="1" t="str">
        <f>IFERROR(VLOOKUP(DB144,スクリプト_フロー!$A:$F,4,FALSE),"")</f>
        <v/>
      </c>
      <c r="Z144" s="6" t="str">
        <f t="shared" si="39"/>
        <v/>
      </c>
      <c r="AA144" s="6"/>
      <c r="AB144" s="4" t="str">
        <f>IF(DE144="","",SUBSTITUTE(SUBSTITUTE(SUBSTITUTE(SUBSTITUTE(SUBSTITUTE(SUBSTITUTE(SUBSTITUTE(SUBSTITUTE(SUBSTITUTE(SUBSTITUTE(SUBSTITUTE(DE144,"{会社}",設定!$B$3),"{自分}",設定!$B$4),"{サービス}",設定!$B$5),"{料金}",設定!$B$7),"{日付1}",設定!$B$8),"{日付2}",設定!$B$9),"{時間1}",設定!$B$10),"{時間2}",設定!$B$11),"{時間}","（指定時間）"),"{日付確定}","（確定日）"),"{時間確定}","（確定時間）"))</f>
        <v/>
      </c>
      <c r="AC144" s="1" t="str">
        <f>IFERROR(VLOOKUP(DD144,スクリプト_フロー!$A:$F,4,FALSE),"")</f>
        <v/>
      </c>
      <c r="AD144" s="6" t="str">
        <f t="shared" si="40"/>
        <v/>
      </c>
      <c r="AE144" s="6"/>
      <c r="AF144" s="4" t="str">
        <f>IF(DG144="","",SUBSTITUTE(SUBSTITUTE(SUBSTITUTE(SUBSTITUTE(SUBSTITUTE(SUBSTITUTE(SUBSTITUTE(SUBSTITUTE(SUBSTITUTE(SUBSTITUTE(SUBSTITUTE(DG144,"{会社}",設定!$B$3),"{自分}",設定!$B$4),"{サービス}",設定!$B$5),"{料金}",設定!$B$7),"{日付1}",設定!$B$8),"{日付2}",設定!$B$9),"{時間1}",設定!$B$10),"{時間2}",設定!$B$11),"{時間}","（指定時間）"),"{日付確定}","（確定日）"),"{時間確定}","（確定時間）"))</f>
        <v/>
      </c>
      <c r="AG144" s="1" t="str">
        <f>IFERROR(VLOOKUP(DF144,スクリプト_フロー!$A:$F,4,FALSE),"")</f>
        <v/>
      </c>
      <c r="CZ144" s="1" t="str">
        <f t="shared" si="41"/>
        <v>|</v>
      </c>
      <c r="DA144" s="1" t="str">
        <f>IFERROR(VLOOKUP(CZ144,スクリプト_フロー!$A:$F,5,FALSE),"")</f>
        <v/>
      </c>
      <c r="DB144" s="1" t="str">
        <f t="shared" si="42"/>
        <v>|</v>
      </c>
      <c r="DC144" s="1" t="str">
        <f>IFERROR(VLOOKUP(DB144,スクリプト_フロー!$A:$F,5,FALSE),"")</f>
        <v/>
      </c>
      <c r="DD144" s="1" t="str">
        <f t="shared" si="43"/>
        <v>|</v>
      </c>
      <c r="DE144" s="1" t="str">
        <f>IFERROR(VLOOKUP(DD144,スクリプト_フロー!$A:$F,5,FALSE),"")</f>
        <v/>
      </c>
      <c r="DF144" s="1" t="str">
        <f t="shared" si="44"/>
        <v>|</v>
      </c>
      <c r="DG144" s="1" t="str">
        <f>IFERROR(VLOOKUP(DF144,スクリプト_フロー!$A:$F,5,FALSE),"")</f>
        <v/>
      </c>
    </row>
    <row r="145" spans="1:111" ht="21">
      <c r="A145" s="1">
        <v>144</v>
      </c>
      <c r="B145" s="1" t="s">
        <v>362</v>
      </c>
      <c r="C145" s="1" t="s">
        <v>346</v>
      </c>
      <c r="D145" s="1" t="s">
        <v>44</v>
      </c>
      <c r="E145" s="6"/>
      <c r="F145" s="6"/>
      <c r="G145" s="6" t="s">
        <v>34</v>
      </c>
      <c r="H145" s="6"/>
      <c r="I145" s="4" t="str">
        <f>SUBSTITUTE(SUBSTITUTE(SUBSTITUTE(SUBSTITUTE(SUBSTITUTE(SUBSTITUTE(SUBSTITUTE(SUBSTITUTE(SUBSTITUTE(SUBSTITUTE(SUBSTITUTE(Q145,"{会社}",設定!$B$3),"{自分}",設定!$B$4),"{サービス}",設定!$B$5),"{料金}",設定!$B$7),"{日付1}",設定!$B$8),"{日付2}",設定!$B$9),"{時間1}",設定!$B$10),"{時間2}",設定!$B$11),"{時間}","（指定時間）"),"{日付確定}","（確定日）"),"{時間確定}","（確定時間）")</f>
        <v/>
      </c>
      <c r="J145" s="1" t="str">
        <f>IFERROR(VLOOKUP(P145,スクリプト_フロー!$A:$F,4,FALSE),"")</f>
        <v/>
      </c>
      <c r="K145" s="6" t="s">
        <v>35</v>
      </c>
      <c r="L145" s="6"/>
      <c r="M145" s="6"/>
      <c r="N145" s="6"/>
      <c r="O145" s="1"/>
      <c r="P145" s="1" t="str">
        <f t="shared" si="36"/>
        <v>①架電|</v>
      </c>
      <c r="Q145" s="1" t="str">
        <f>IFERROR(VLOOKUP(P145,スクリプト_フロー!$A:$F,5,FALSE),"")</f>
        <v/>
      </c>
      <c r="R145" s="6" t="str">
        <f t="shared" si="37"/>
        <v/>
      </c>
      <c r="S145" s="6"/>
      <c r="T145" s="4" t="str">
        <f>IF(DA145="","",SUBSTITUTE(SUBSTITUTE(SUBSTITUTE(SUBSTITUTE(SUBSTITUTE(SUBSTITUTE(SUBSTITUTE(SUBSTITUTE(SUBSTITUTE(SUBSTITUTE(SUBSTITUTE(DA145,"{会社}",設定!$B$3),"{自分}",設定!$B$4),"{サービス}",設定!$B$5),"{料金}",設定!$B$7),"{日付1}",設定!$B$8),"{日付2}",設定!$B$9),"{時間1}",設定!$B$10),"{時間2}",設定!$B$11),"{時間}","（指定時間）"),"{日付確定}","（確定日）"),"{時間確定}","（確定時間）"))</f>
        <v/>
      </c>
      <c r="U145" s="1" t="str">
        <f>IFERROR(VLOOKUP(CZ145,スクリプト_フロー!$A:$F,4,FALSE),"")</f>
        <v/>
      </c>
      <c r="V145" s="6" t="str">
        <f t="shared" si="38"/>
        <v/>
      </c>
      <c r="W145" s="6"/>
      <c r="X145" s="4" t="str">
        <f>IF(DC145="","",SUBSTITUTE(SUBSTITUTE(SUBSTITUTE(SUBSTITUTE(SUBSTITUTE(SUBSTITUTE(SUBSTITUTE(SUBSTITUTE(SUBSTITUTE(SUBSTITUTE(SUBSTITUTE(DC145,"{会社}",設定!$B$3),"{自分}",設定!$B$4),"{サービス}",設定!$B$5),"{料金}",設定!$B$7),"{日付1}",設定!$B$8),"{日付2}",設定!$B$9),"{時間1}",設定!$B$10),"{時間2}",設定!$B$11),"{時間}","（指定時間）"),"{日付確定}","（確定日）"),"{時間確定}","（確定時間）"))</f>
        <v/>
      </c>
      <c r="Y145" s="1" t="str">
        <f>IFERROR(VLOOKUP(DB145,スクリプト_フロー!$A:$F,4,FALSE),"")</f>
        <v/>
      </c>
      <c r="Z145" s="6" t="str">
        <f t="shared" si="39"/>
        <v/>
      </c>
      <c r="AA145" s="6"/>
      <c r="AB145" s="4" t="str">
        <f>IF(DE145="","",SUBSTITUTE(SUBSTITUTE(SUBSTITUTE(SUBSTITUTE(SUBSTITUTE(SUBSTITUTE(SUBSTITUTE(SUBSTITUTE(SUBSTITUTE(SUBSTITUTE(SUBSTITUTE(DE145,"{会社}",設定!$B$3),"{自分}",設定!$B$4),"{サービス}",設定!$B$5),"{料金}",設定!$B$7),"{日付1}",設定!$B$8),"{日付2}",設定!$B$9),"{時間1}",設定!$B$10),"{時間2}",設定!$B$11),"{時間}","（指定時間）"),"{日付確定}","（確定日）"),"{時間確定}","（確定時間）"))</f>
        <v/>
      </c>
      <c r="AC145" s="1" t="str">
        <f>IFERROR(VLOOKUP(DD145,スクリプト_フロー!$A:$F,4,FALSE),"")</f>
        <v/>
      </c>
      <c r="AD145" s="6" t="str">
        <f t="shared" si="40"/>
        <v/>
      </c>
      <c r="AE145" s="6"/>
      <c r="AF145" s="4" t="str">
        <f>IF(DG145="","",SUBSTITUTE(SUBSTITUTE(SUBSTITUTE(SUBSTITUTE(SUBSTITUTE(SUBSTITUTE(SUBSTITUTE(SUBSTITUTE(SUBSTITUTE(SUBSTITUTE(SUBSTITUTE(DG145,"{会社}",設定!$B$3),"{自分}",設定!$B$4),"{サービス}",設定!$B$5),"{料金}",設定!$B$7),"{日付1}",設定!$B$8),"{日付2}",設定!$B$9),"{時間1}",設定!$B$10),"{時間2}",設定!$B$11),"{時間}","（指定時間）"),"{日付確定}","（確定日）"),"{時間確定}","（確定時間）"))</f>
        <v/>
      </c>
      <c r="AG145" s="1" t="str">
        <f>IFERROR(VLOOKUP(DF145,スクリプト_フロー!$A:$F,4,FALSE),"")</f>
        <v/>
      </c>
      <c r="CZ145" s="1" t="str">
        <f t="shared" si="41"/>
        <v>|</v>
      </c>
      <c r="DA145" s="1" t="str">
        <f>IFERROR(VLOOKUP(CZ145,スクリプト_フロー!$A:$F,5,FALSE),"")</f>
        <v/>
      </c>
      <c r="DB145" s="1" t="str">
        <f t="shared" si="42"/>
        <v>|</v>
      </c>
      <c r="DC145" s="1" t="str">
        <f>IFERROR(VLOOKUP(DB145,スクリプト_フロー!$A:$F,5,FALSE),"")</f>
        <v/>
      </c>
      <c r="DD145" s="1" t="str">
        <f t="shared" si="43"/>
        <v>|</v>
      </c>
      <c r="DE145" s="1" t="str">
        <f>IFERROR(VLOOKUP(DD145,スクリプト_フロー!$A:$F,5,FALSE),"")</f>
        <v/>
      </c>
      <c r="DF145" s="1" t="str">
        <f t="shared" si="44"/>
        <v>|</v>
      </c>
      <c r="DG145" s="1" t="str">
        <f>IFERROR(VLOOKUP(DF145,スクリプト_フロー!$A:$F,5,FALSE),"")</f>
        <v/>
      </c>
    </row>
    <row r="146" spans="1:111" ht="21">
      <c r="A146" s="1">
        <v>145</v>
      </c>
      <c r="B146" s="1" t="s">
        <v>363</v>
      </c>
      <c r="C146" s="1" t="s">
        <v>346</v>
      </c>
      <c r="D146" s="1" t="s">
        <v>201</v>
      </c>
      <c r="E146" s="6"/>
      <c r="F146" s="6"/>
      <c r="G146" s="6" t="s">
        <v>34</v>
      </c>
      <c r="H146" s="6"/>
      <c r="I146" s="4" t="str">
        <f>SUBSTITUTE(SUBSTITUTE(SUBSTITUTE(SUBSTITUTE(SUBSTITUTE(SUBSTITUTE(SUBSTITUTE(SUBSTITUTE(SUBSTITUTE(SUBSTITUTE(SUBSTITUTE(Q146,"{会社}",設定!$B$3),"{自分}",設定!$B$4),"{サービス}",設定!$B$5),"{料金}",設定!$B$7),"{日付1}",設定!$B$8),"{日付2}",設定!$B$9),"{時間1}",設定!$B$10),"{時間2}",設定!$B$11),"{時間}","（指定時間）"),"{日付確定}","（確定日）"),"{時間確定}","（確定時間）")</f>
        <v/>
      </c>
      <c r="J146" s="1" t="str">
        <f>IFERROR(VLOOKUP(P146,スクリプト_フロー!$A:$F,4,FALSE),"")</f>
        <v/>
      </c>
      <c r="K146" s="6" t="s">
        <v>35</v>
      </c>
      <c r="L146" s="6"/>
      <c r="M146" s="6"/>
      <c r="N146" s="6"/>
      <c r="O146" s="1"/>
      <c r="P146" s="1" t="str">
        <f t="shared" si="36"/>
        <v>①架電|</v>
      </c>
      <c r="Q146" s="1" t="str">
        <f>IFERROR(VLOOKUP(P146,スクリプト_フロー!$A:$F,5,FALSE),"")</f>
        <v/>
      </c>
      <c r="R146" s="6" t="str">
        <f t="shared" si="37"/>
        <v/>
      </c>
      <c r="S146" s="6"/>
      <c r="T146" s="4" t="str">
        <f>IF(DA146="","",SUBSTITUTE(SUBSTITUTE(SUBSTITUTE(SUBSTITUTE(SUBSTITUTE(SUBSTITUTE(SUBSTITUTE(SUBSTITUTE(SUBSTITUTE(SUBSTITUTE(SUBSTITUTE(DA146,"{会社}",設定!$B$3),"{自分}",設定!$B$4),"{サービス}",設定!$B$5),"{料金}",設定!$B$7),"{日付1}",設定!$B$8),"{日付2}",設定!$B$9),"{時間1}",設定!$B$10),"{時間2}",設定!$B$11),"{時間}","（指定時間）"),"{日付確定}","（確定日）"),"{時間確定}","（確定時間）"))</f>
        <v/>
      </c>
      <c r="U146" s="1" t="str">
        <f>IFERROR(VLOOKUP(CZ146,スクリプト_フロー!$A:$F,4,FALSE),"")</f>
        <v/>
      </c>
      <c r="V146" s="6" t="str">
        <f t="shared" si="38"/>
        <v/>
      </c>
      <c r="W146" s="6"/>
      <c r="X146" s="4" t="str">
        <f>IF(DC146="","",SUBSTITUTE(SUBSTITUTE(SUBSTITUTE(SUBSTITUTE(SUBSTITUTE(SUBSTITUTE(SUBSTITUTE(SUBSTITUTE(SUBSTITUTE(SUBSTITUTE(SUBSTITUTE(DC146,"{会社}",設定!$B$3),"{自分}",設定!$B$4),"{サービス}",設定!$B$5),"{料金}",設定!$B$7),"{日付1}",設定!$B$8),"{日付2}",設定!$B$9),"{時間1}",設定!$B$10),"{時間2}",設定!$B$11),"{時間}","（指定時間）"),"{日付確定}","（確定日）"),"{時間確定}","（確定時間）"))</f>
        <v/>
      </c>
      <c r="Y146" s="1" t="str">
        <f>IFERROR(VLOOKUP(DB146,スクリプト_フロー!$A:$F,4,FALSE),"")</f>
        <v/>
      </c>
      <c r="Z146" s="6" t="str">
        <f t="shared" si="39"/>
        <v/>
      </c>
      <c r="AA146" s="6"/>
      <c r="AB146" s="4" t="str">
        <f>IF(DE146="","",SUBSTITUTE(SUBSTITUTE(SUBSTITUTE(SUBSTITUTE(SUBSTITUTE(SUBSTITUTE(SUBSTITUTE(SUBSTITUTE(SUBSTITUTE(SUBSTITUTE(SUBSTITUTE(DE146,"{会社}",設定!$B$3),"{自分}",設定!$B$4),"{サービス}",設定!$B$5),"{料金}",設定!$B$7),"{日付1}",設定!$B$8),"{日付2}",設定!$B$9),"{時間1}",設定!$B$10),"{時間2}",設定!$B$11),"{時間}","（指定時間）"),"{日付確定}","（確定日）"),"{時間確定}","（確定時間）"))</f>
        <v/>
      </c>
      <c r="AC146" s="1" t="str">
        <f>IFERROR(VLOOKUP(DD146,スクリプト_フロー!$A:$F,4,FALSE),"")</f>
        <v/>
      </c>
      <c r="AD146" s="6" t="str">
        <f t="shared" si="40"/>
        <v/>
      </c>
      <c r="AE146" s="6"/>
      <c r="AF146" s="4" t="str">
        <f>IF(DG146="","",SUBSTITUTE(SUBSTITUTE(SUBSTITUTE(SUBSTITUTE(SUBSTITUTE(SUBSTITUTE(SUBSTITUTE(SUBSTITUTE(SUBSTITUTE(SUBSTITUTE(SUBSTITUTE(DG146,"{会社}",設定!$B$3),"{自分}",設定!$B$4),"{サービス}",設定!$B$5),"{料金}",設定!$B$7),"{日付1}",設定!$B$8),"{日付2}",設定!$B$9),"{時間1}",設定!$B$10),"{時間2}",設定!$B$11),"{時間}","（指定時間）"),"{日付確定}","（確定日）"),"{時間確定}","（確定時間）"))</f>
        <v/>
      </c>
      <c r="AG146" s="1" t="str">
        <f>IFERROR(VLOOKUP(DF146,スクリプト_フロー!$A:$F,4,FALSE),"")</f>
        <v/>
      </c>
      <c r="CZ146" s="1" t="str">
        <f t="shared" si="41"/>
        <v>|</v>
      </c>
      <c r="DA146" s="1" t="str">
        <f>IFERROR(VLOOKUP(CZ146,スクリプト_フロー!$A:$F,5,FALSE),"")</f>
        <v/>
      </c>
      <c r="DB146" s="1" t="str">
        <f t="shared" si="42"/>
        <v>|</v>
      </c>
      <c r="DC146" s="1" t="str">
        <f>IFERROR(VLOOKUP(DB146,スクリプト_フロー!$A:$F,5,FALSE),"")</f>
        <v/>
      </c>
      <c r="DD146" s="1" t="str">
        <f t="shared" si="43"/>
        <v>|</v>
      </c>
      <c r="DE146" s="1" t="str">
        <f>IFERROR(VLOOKUP(DD146,スクリプト_フロー!$A:$F,5,FALSE),"")</f>
        <v/>
      </c>
      <c r="DF146" s="1" t="str">
        <f t="shared" si="44"/>
        <v>|</v>
      </c>
      <c r="DG146" s="1" t="str">
        <f>IFERROR(VLOOKUP(DF146,スクリプト_フロー!$A:$F,5,FALSE),"")</f>
        <v/>
      </c>
    </row>
    <row r="147" spans="1:111" ht="21">
      <c r="A147" s="1">
        <v>146</v>
      </c>
      <c r="B147" s="1" t="s">
        <v>330</v>
      </c>
      <c r="C147" s="1" t="s">
        <v>346</v>
      </c>
      <c r="D147" s="1" t="s">
        <v>94</v>
      </c>
      <c r="E147" s="6"/>
      <c r="F147" s="6"/>
      <c r="G147" s="6" t="s">
        <v>34</v>
      </c>
      <c r="H147" s="6"/>
      <c r="I147" s="4" t="str">
        <f>SUBSTITUTE(SUBSTITUTE(SUBSTITUTE(SUBSTITUTE(SUBSTITUTE(SUBSTITUTE(SUBSTITUTE(SUBSTITUTE(SUBSTITUTE(SUBSTITUTE(SUBSTITUTE(Q147,"{会社}",設定!$B$3),"{自分}",設定!$B$4),"{サービス}",設定!$B$5),"{料金}",設定!$B$7),"{日付1}",設定!$B$8),"{日付2}",設定!$B$9),"{時間1}",設定!$B$10),"{時間2}",設定!$B$11),"{時間}","（指定時間）"),"{日付確定}","（確定日）"),"{時間確定}","（確定時間）")</f>
        <v/>
      </c>
      <c r="J147" s="1" t="str">
        <f>IFERROR(VLOOKUP(P147,スクリプト_フロー!$A:$F,4,FALSE),"")</f>
        <v/>
      </c>
      <c r="K147" s="6" t="s">
        <v>35</v>
      </c>
      <c r="L147" s="6"/>
      <c r="M147" s="6"/>
      <c r="N147" s="6"/>
      <c r="O147" s="1"/>
      <c r="P147" s="1" t="str">
        <f t="shared" si="36"/>
        <v>①架電|</v>
      </c>
      <c r="Q147" s="1" t="str">
        <f>IFERROR(VLOOKUP(P147,スクリプト_フロー!$A:$F,5,FALSE),"")</f>
        <v/>
      </c>
      <c r="R147" s="6" t="str">
        <f t="shared" si="37"/>
        <v/>
      </c>
      <c r="S147" s="6"/>
      <c r="T147" s="4" t="str">
        <f>IF(DA147="","",SUBSTITUTE(SUBSTITUTE(SUBSTITUTE(SUBSTITUTE(SUBSTITUTE(SUBSTITUTE(SUBSTITUTE(SUBSTITUTE(SUBSTITUTE(SUBSTITUTE(SUBSTITUTE(DA147,"{会社}",設定!$B$3),"{自分}",設定!$B$4),"{サービス}",設定!$B$5),"{料金}",設定!$B$7),"{日付1}",設定!$B$8),"{日付2}",設定!$B$9),"{時間1}",設定!$B$10),"{時間2}",設定!$B$11),"{時間}","（指定時間）"),"{日付確定}","（確定日）"),"{時間確定}","（確定時間）"))</f>
        <v/>
      </c>
      <c r="U147" s="1" t="str">
        <f>IFERROR(VLOOKUP(CZ147,スクリプト_フロー!$A:$F,4,FALSE),"")</f>
        <v/>
      </c>
      <c r="V147" s="6" t="str">
        <f t="shared" si="38"/>
        <v/>
      </c>
      <c r="W147" s="6"/>
      <c r="X147" s="4" t="str">
        <f>IF(DC147="","",SUBSTITUTE(SUBSTITUTE(SUBSTITUTE(SUBSTITUTE(SUBSTITUTE(SUBSTITUTE(SUBSTITUTE(SUBSTITUTE(SUBSTITUTE(SUBSTITUTE(SUBSTITUTE(DC147,"{会社}",設定!$B$3),"{自分}",設定!$B$4),"{サービス}",設定!$B$5),"{料金}",設定!$B$7),"{日付1}",設定!$B$8),"{日付2}",設定!$B$9),"{時間1}",設定!$B$10),"{時間2}",設定!$B$11),"{時間}","（指定時間）"),"{日付確定}","（確定日）"),"{時間確定}","（確定時間）"))</f>
        <v/>
      </c>
      <c r="Y147" s="1" t="str">
        <f>IFERROR(VLOOKUP(DB147,スクリプト_フロー!$A:$F,4,FALSE),"")</f>
        <v/>
      </c>
      <c r="Z147" s="6" t="str">
        <f t="shared" si="39"/>
        <v/>
      </c>
      <c r="AA147" s="6"/>
      <c r="AB147" s="4" t="str">
        <f>IF(DE147="","",SUBSTITUTE(SUBSTITUTE(SUBSTITUTE(SUBSTITUTE(SUBSTITUTE(SUBSTITUTE(SUBSTITUTE(SUBSTITUTE(SUBSTITUTE(SUBSTITUTE(SUBSTITUTE(DE147,"{会社}",設定!$B$3),"{自分}",設定!$B$4),"{サービス}",設定!$B$5),"{料金}",設定!$B$7),"{日付1}",設定!$B$8),"{日付2}",設定!$B$9),"{時間1}",設定!$B$10),"{時間2}",設定!$B$11),"{時間}","（指定時間）"),"{日付確定}","（確定日）"),"{時間確定}","（確定時間）"))</f>
        <v/>
      </c>
      <c r="AC147" s="1" t="str">
        <f>IFERROR(VLOOKUP(DD147,スクリプト_フロー!$A:$F,4,FALSE),"")</f>
        <v/>
      </c>
      <c r="AD147" s="6" t="str">
        <f t="shared" si="40"/>
        <v/>
      </c>
      <c r="AE147" s="6"/>
      <c r="AF147" s="4" t="str">
        <f>IF(DG147="","",SUBSTITUTE(SUBSTITUTE(SUBSTITUTE(SUBSTITUTE(SUBSTITUTE(SUBSTITUTE(SUBSTITUTE(SUBSTITUTE(SUBSTITUTE(SUBSTITUTE(SUBSTITUTE(DG147,"{会社}",設定!$B$3),"{自分}",設定!$B$4),"{サービス}",設定!$B$5),"{料金}",設定!$B$7),"{日付1}",設定!$B$8),"{日付2}",設定!$B$9),"{時間1}",設定!$B$10),"{時間2}",設定!$B$11),"{時間}","（指定時間）"),"{日付確定}","（確定日）"),"{時間確定}","（確定時間）"))</f>
        <v/>
      </c>
      <c r="AG147" s="1" t="str">
        <f>IFERROR(VLOOKUP(DF147,スクリプト_フロー!$A:$F,4,FALSE),"")</f>
        <v/>
      </c>
      <c r="CZ147" s="1" t="str">
        <f t="shared" si="41"/>
        <v>|</v>
      </c>
      <c r="DA147" s="1" t="str">
        <f>IFERROR(VLOOKUP(CZ147,スクリプト_フロー!$A:$F,5,FALSE),"")</f>
        <v/>
      </c>
      <c r="DB147" s="1" t="str">
        <f t="shared" si="42"/>
        <v>|</v>
      </c>
      <c r="DC147" s="1" t="str">
        <f>IFERROR(VLOOKUP(DB147,スクリプト_フロー!$A:$F,5,FALSE),"")</f>
        <v/>
      </c>
      <c r="DD147" s="1" t="str">
        <f t="shared" si="43"/>
        <v>|</v>
      </c>
      <c r="DE147" s="1" t="str">
        <f>IFERROR(VLOOKUP(DD147,スクリプト_フロー!$A:$F,5,FALSE),"")</f>
        <v/>
      </c>
      <c r="DF147" s="1" t="str">
        <f t="shared" si="44"/>
        <v>|</v>
      </c>
      <c r="DG147" s="1" t="str">
        <f>IFERROR(VLOOKUP(DF147,スクリプト_フロー!$A:$F,5,FALSE),"")</f>
        <v/>
      </c>
    </row>
    <row r="148" spans="1:111" ht="21">
      <c r="A148" s="1">
        <v>147</v>
      </c>
      <c r="B148" s="1" t="s">
        <v>364</v>
      </c>
      <c r="C148" s="1" t="s">
        <v>365</v>
      </c>
      <c r="D148" s="1" t="s">
        <v>94</v>
      </c>
      <c r="E148" s="6"/>
      <c r="F148" s="6"/>
      <c r="G148" s="6" t="s">
        <v>34</v>
      </c>
      <c r="H148" s="6"/>
      <c r="I148" s="4" t="str">
        <f>SUBSTITUTE(SUBSTITUTE(SUBSTITUTE(SUBSTITUTE(SUBSTITUTE(SUBSTITUTE(SUBSTITUTE(SUBSTITUTE(SUBSTITUTE(SUBSTITUTE(SUBSTITUTE(Q148,"{会社}",設定!$B$3),"{自分}",設定!$B$4),"{サービス}",設定!$B$5),"{料金}",設定!$B$7),"{日付1}",設定!$B$8),"{日付2}",設定!$B$9),"{時間1}",設定!$B$10),"{時間2}",設定!$B$11),"{時間}","（指定時間）"),"{日付確定}","（確定日）"),"{時間確定}","（確定時間）")</f>
        <v/>
      </c>
      <c r="J148" s="1" t="str">
        <f>IFERROR(VLOOKUP(P148,スクリプト_フロー!$A:$F,4,FALSE),"")</f>
        <v/>
      </c>
      <c r="K148" s="6" t="s">
        <v>35</v>
      </c>
      <c r="L148" s="6"/>
      <c r="M148" s="6"/>
      <c r="N148" s="6"/>
      <c r="O148" s="1"/>
      <c r="P148" s="1" t="str">
        <f t="shared" si="36"/>
        <v>①架電|</v>
      </c>
      <c r="Q148" s="1" t="str">
        <f>IFERROR(VLOOKUP(P148,スクリプト_フロー!$A:$F,5,FALSE),"")</f>
        <v/>
      </c>
      <c r="R148" s="6" t="str">
        <f t="shared" si="37"/>
        <v/>
      </c>
      <c r="S148" s="6"/>
      <c r="T148" s="4" t="str">
        <f>IF(DA148="","",SUBSTITUTE(SUBSTITUTE(SUBSTITUTE(SUBSTITUTE(SUBSTITUTE(SUBSTITUTE(SUBSTITUTE(SUBSTITUTE(SUBSTITUTE(SUBSTITUTE(SUBSTITUTE(DA148,"{会社}",設定!$B$3),"{自分}",設定!$B$4),"{サービス}",設定!$B$5),"{料金}",設定!$B$7),"{日付1}",設定!$B$8),"{日付2}",設定!$B$9),"{時間1}",設定!$B$10),"{時間2}",設定!$B$11),"{時間}","（指定時間）"),"{日付確定}","（確定日）"),"{時間確定}","（確定時間）"))</f>
        <v/>
      </c>
      <c r="U148" s="1" t="str">
        <f>IFERROR(VLOOKUP(CZ148,スクリプト_フロー!$A:$F,4,FALSE),"")</f>
        <v/>
      </c>
      <c r="V148" s="6" t="str">
        <f t="shared" si="38"/>
        <v/>
      </c>
      <c r="W148" s="6"/>
      <c r="X148" s="4" t="str">
        <f>IF(DC148="","",SUBSTITUTE(SUBSTITUTE(SUBSTITUTE(SUBSTITUTE(SUBSTITUTE(SUBSTITUTE(SUBSTITUTE(SUBSTITUTE(SUBSTITUTE(SUBSTITUTE(SUBSTITUTE(DC148,"{会社}",設定!$B$3),"{自分}",設定!$B$4),"{サービス}",設定!$B$5),"{料金}",設定!$B$7),"{日付1}",設定!$B$8),"{日付2}",設定!$B$9),"{時間1}",設定!$B$10),"{時間2}",設定!$B$11),"{時間}","（指定時間）"),"{日付確定}","（確定日）"),"{時間確定}","（確定時間）"))</f>
        <v/>
      </c>
      <c r="Y148" s="1" t="str">
        <f>IFERROR(VLOOKUP(DB148,スクリプト_フロー!$A:$F,4,FALSE),"")</f>
        <v/>
      </c>
      <c r="Z148" s="6" t="str">
        <f t="shared" si="39"/>
        <v/>
      </c>
      <c r="AA148" s="6"/>
      <c r="AB148" s="4" t="str">
        <f>IF(DE148="","",SUBSTITUTE(SUBSTITUTE(SUBSTITUTE(SUBSTITUTE(SUBSTITUTE(SUBSTITUTE(SUBSTITUTE(SUBSTITUTE(SUBSTITUTE(SUBSTITUTE(SUBSTITUTE(DE148,"{会社}",設定!$B$3),"{自分}",設定!$B$4),"{サービス}",設定!$B$5),"{料金}",設定!$B$7),"{日付1}",設定!$B$8),"{日付2}",設定!$B$9),"{時間1}",設定!$B$10),"{時間2}",設定!$B$11),"{時間}","（指定時間）"),"{日付確定}","（確定日）"),"{時間確定}","（確定時間）"))</f>
        <v/>
      </c>
      <c r="AC148" s="1" t="str">
        <f>IFERROR(VLOOKUP(DD148,スクリプト_フロー!$A:$F,4,FALSE),"")</f>
        <v/>
      </c>
      <c r="AD148" s="6" t="str">
        <f t="shared" si="40"/>
        <v/>
      </c>
      <c r="AE148" s="6"/>
      <c r="AF148" s="4" t="str">
        <f>IF(DG148="","",SUBSTITUTE(SUBSTITUTE(SUBSTITUTE(SUBSTITUTE(SUBSTITUTE(SUBSTITUTE(SUBSTITUTE(SUBSTITUTE(SUBSTITUTE(SUBSTITUTE(SUBSTITUTE(DG148,"{会社}",設定!$B$3),"{自分}",設定!$B$4),"{サービス}",設定!$B$5),"{料金}",設定!$B$7),"{日付1}",設定!$B$8),"{日付2}",設定!$B$9),"{時間1}",設定!$B$10),"{時間2}",設定!$B$11),"{時間}","（指定時間）"),"{日付確定}","（確定日）"),"{時間確定}","（確定時間）"))</f>
        <v/>
      </c>
      <c r="AG148" s="1" t="str">
        <f>IFERROR(VLOOKUP(DF148,スクリプト_フロー!$A:$F,4,FALSE),"")</f>
        <v/>
      </c>
      <c r="CZ148" s="1" t="str">
        <f t="shared" si="41"/>
        <v>|</v>
      </c>
      <c r="DA148" s="1" t="str">
        <f>IFERROR(VLOOKUP(CZ148,スクリプト_フロー!$A:$F,5,FALSE),"")</f>
        <v/>
      </c>
      <c r="DB148" s="1" t="str">
        <f t="shared" si="42"/>
        <v>|</v>
      </c>
      <c r="DC148" s="1" t="str">
        <f>IFERROR(VLOOKUP(DB148,スクリプト_フロー!$A:$F,5,FALSE),"")</f>
        <v/>
      </c>
      <c r="DD148" s="1" t="str">
        <f t="shared" si="43"/>
        <v>|</v>
      </c>
      <c r="DE148" s="1" t="str">
        <f>IFERROR(VLOOKUP(DD148,スクリプト_フロー!$A:$F,5,FALSE),"")</f>
        <v/>
      </c>
      <c r="DF148" s="1" t="str">
        <f t="shared" si="44"/>
        <v>|</v>
      </c>
      <c r="DG148" s="1" t="str">
        <f>IFERROR(VLOOKUP(DF148,スクリプト_フロー!$A:$F,5,FALSE),"")</f>
        <v/>
      </c>
    </row>
    <row r="149" spans="1:111" ht="21">
      <c r="A149" s="1">
        <v>148</v>
      </c>
      <c r="B149" s="1" t="s">
        <v>366</v>
      </c>
      <c r="C149" s="1" t="s">
        <v>212</v>
      </c>
      <c r="D149" s="1" t="s">
        <v>213</v>
      </c>
      <c r="E149" s="6"/>
      <c r="F149" s="6"/>
      <c r="G149" s="6" t="s">
        <v>34</v>
      </c>
      <c r="H149" s="6"/>
      <c r="I149" s="4" t="str">
        <f>SUBSTITUTE(SUBSTITUTE(SUBSTITUTE(SUBSTITUTE(SUBSTITUTE(SUBSTITUTE(SUBSTITUTE(SUBSTITUTE(SUBSTITUTE(SUBSTITUTE(SUBSTITUTE(Q149,"{会社}",設定!$B$3),"{自分}",設定!$B$4),"{サービス}",設定!$B$5),"{料金}",設定!$B$7),"{日付1}",設定!$B$8),"{日付2}",設定!$B$9),"{時間1}",設定!$B$10),"{時間2}",設定!$B$11),"{時間}","（指定時間）"),"{日付確定}","（確定日）"),"{時間確定}","（確定時間）")</f>
        <v/>
      </c>
      <c r="J149" s="1" t="str">
        <f>IFERROR(VLOOKUP(P149,スクリプト_フロー!$A:$F,4,FALSE),"")</f>
        <v/>
      </c>
      <c r="K149" s="6" t="s">
        <v>35</v>
      </c>
      <c r="L149" s="6"/>
      <c r="M149" s="6"/>
      <c r="N149" s="6"/>
      <c r="O149" s="1"/>
      <c r="P149" s="1" t="str">
        <f t="shared" si="36"/>
        <v>①架電|</v>
      </c>
      <c r="Q149" s="1" t="str">
        <f>IFERROR(VLOOKUP(P149,スクリプト_フロー!$A:$F,5,FALSE),"")</f>
        <v/>
      </c>
      <c r="R149" s="6" t="str">
        <f t="shared" si="37"/>
        <v/>
      </c>
      <c r="S149" s="6"/>
      <c r="T149" s="4" t="str">
        <f>IF(DA149="","",SUBSTITUTE(SUBSTITUTE(SUBSTITUTE(SUBSTITUTE(SUBSTITUTE(SUBSTITUTE(SUBSTITUTE(SUBSTITUTE(SUBSTITUTE(SUBSTITUTE(SUBSTITUTE(DA149,"{会社}",設定!$B$3),"{自分}",設定!$B$4),"{サービス}",設定!$B$5),"{料金}",設定!$B$7),"{日付1}",設定!$B$8),"{日付2}",設定!$B$9),"{時間1}",設定!$B$10),"{時間2}",設定!$B$11),"{時間}","（指定時間）"),"{日付確定}","（確定日）"),"{時間確定}","（確定時間）"))</f>
        <v/>
      </c>
      <c r="U149" s="1" t="str">
        <f>IFERROR(VLOOKUP(CZ149,スクリプト_フロー!$A:$F,4,FALSE),"")</f>
        <v/>
      </c>
      <c r="V149" s="6" t="str">
        <f t="shared" si="38"/>
        <v/>
      </c>
      <c r="W149" s="6"/>
      <c r="X149" s="4" t="str">
        <f>IF(DC149="","",SUBSTITUTE(SUBSTITUTE(SUBSTITUTE(SUBSTITUTE(SUBSTITUTE(SUBSTITUTE(SUBSTITUTE(SUBSTITUTE(SUBSTITUTE(SUBSTITUTE(SUBSTITUTE(DC149,"{会社}",設定!$B$3),"{自分}",設定!$B$4),"{サービス}",設定!$B$5),"{料金}",設定!$B$7),"{日付1}",設定!$B$8),"{日付2}",設定!$B$9),"{時間1}",設定!$B$10),"{時間2}",設定!$B$11),"{時間}","（指定時間）"),"{日付確定}","（確定日）"),"{時間確定}","（確定時間）"))</f>
        <v/>
      </c>
      <c r="Y149" s="1" t="str">
        <f>IFERROR(VLOOKUP(DB149,スクリプト_フロー!$A:$F,4,FALSE),"")</f>
        <v/>
      </c>
      <c r="Z149" s="6" t="str">
        <f t="shared" si="39"/>
        <v/>
      </c>
      <c r="AA149" s="6"/>
      <c r="AB149" s="4" t="str">
        <f>IF(DE149="","",SUBSTITUTE(SUBSTITUTE(SUBSTITUTE(SUBSTITUTE(SUBSTITUTE(SUBSTITUTE(SUBSTITUTE(SUBSTITUTE(SUBSTITUTE(SUBSTITUTE(SUBSTITUTE(DE149,"{会社}",設定!$B$3),"{自分}",設定!$B$4),"{サービス}",設定!$B$5),"{料金}",設定!$B$7),"{日付1}",設定!$B$8),"{日付2}",設定!$B$9),"{時間1}",設定!$B$10),"{時間2}",設定!$B$11),"{時間}","（指定時間）"),"{日付確定}","（確定日）"),"{時間確定}","（確定時間）"))</f>
        <v/>
      </c>
      <c r="AC149" s="1" t="str">
        <f>IFERROR(VLOOKUP(DD149,スクリプト_フロー!$A:$F,4,FALSE),"")</f>
        <v/>
      </c>
      <c r="AD149" s="6" t="str">
        <f t="shared" si="40"/>
        <v/>
      </c>
      <c r="AE149" s="6"/>
      <c r="AF149" s="4" t="str">
        <f>IF(DG149="","",SUBSTITUTE(SUBSTITUTE(SUBSTITUTE(SUBSTITUTE(SUBSTITUTE(SUBSTITUTE(SUBSTITUTE(SUBSTITUTE(SUBSTITUTE(SUBSTITUTE(SUBSTITUTE(DG149,"{会社}",設定!$B$3),"{自分}",設定!$B$4),"{サービス}",設定!$B$5),"{料金}",設定!$B$7),"{日付1}",設定!$B$8),"{日付2}",設定!$B$9),"{時間1}",設定!$B$10),"{時間2}",設定!$B$11),"{時間}","（指定時間）"),"{日付確定}","（確定日）"),"{時間確定}","（確定時間）"))</f>
        <v/>
      </c>
      <c r="AG149" s="1" t="str">
        <f>IFERROR(VLOOKUP(DF149,スクリプト_フロー!$A:$F,4,FALSE),"")</f>
        <v/>
      </c>
      <c r="CZ149" s="1" t="str">
        <f t="shared" si="41"/>
        <v>|</v>
      </c>
      <c r="DA149" s="1" t="str">
        <f>IFERROR(VLOOKUP(CZ149,スクリプト_フロー!$A:$F,5,FALSE),"")</f>
        <v/>
      </c>
      <c r="DB149" s="1" t="str">
        <f t="shared" si="42"/>
        <v>|</v>
      </c>
      <c r="DC149" s="1" t="str">
        <f>IFERROR(VLOOKUP(DB149,スクリプト_フロー!$A:$F,5,FALSE),"")</f>
        <v/>
      </c>
      <c r="DD149" s="1" t="str">
        <f t="shared" si="43"/>
        <v>|</v>
      </c>
      <c r="DE149" s="1" t="str">
        <f>IFERROR(VLOOKUP(DD149,スクリプト_フロー!$A:$F,5,FALSE),"")</f>
        <v/>
      </c>
      <c r="DF149" s="1" t="str">
        <f t="shared" si="44"/>
        <v>|</v>
      </c>
      <c r="DG149" s="1" t="str">
        <f>IFERROR(VLOOKUP(DF149,スクリプト_フロー!$A:$F,5,FALSE),"")</f>
        <v/>
      </c>
    </row>
    <row r="150" spans="1:111" ht="21">
      <c r="A150" s="1">
        <v>149</v>
      </c>
      <c r="B150" s="1" t="s">
        <v>367</v>
      </c>
      <c r="C150" s="1" t="s">
        <v>346</v>
      </c>
      <c r="D150" s="1" t="s">
        <v>143</v>
      </c>
      <c r="E150" s="6"/>
      <c r="F150" s="6"/>
      <c r="G150" s="6" t="s">
        <v>34</v>
      </c>
      <c r="H150" s="6"/>
      <c r="I150" s="4" t="str">
        <f>SUBSTITUTE(SUBSTITUTE(SUBSTITUTE(SUBSTITUTE(SUBSTITUTE(SUBSTITUTE(SUBSTITUTE(SUBSTITUTE(SUBSTITUTE(SUBSTITUTE(SUBSTITUTE(Q150,"{会社}",設定!$B$3),"{自分}",設定!$B$4),"{サービス}",設定!$B$5),"{料金}",設定!$B$7),"{日付1}",設定!$B$8),"{日付2}",設定!$B$9),"{時間1}",設定!$B$10),"{時間2}",設定!$B$11),"{時間}","（指定時間）"),"{日付確定}","（確定日）"),"{時間確定}","（確定時間）")</f>
        <v/>
      </c>
      <c r="J150" s="1" t="str">
        <f>IFERROR(VLOOKUP(P150,スクリプト_フロー!$A:$F,4,FALSE),"")</f>
        <v/>
      </c>
      <c r="K150" s="6" t="s">
        <v>35</v>
      </c>
      <c r="L150" s="6"/>
      <c r="M150" s="6"/>
      <c r="N150" s="6"/>
      <c r="O150" s="1"/>
      <c r="P150" s="1" t="str">
        <f t="shared" si="36"/>
        <v>①架電|</v>
      </c>
      <c r="Q150" s="1" t="str">
        <f>IFERROR(VLOOKUP(P150,スクリプト_フロー!$A:$F,5,FALSE),"")</f>
        <v/>
      </c>
      <c r="R150" s="6" t="str">
        <f t="shared" si="37"/>
        <v/>
      </c>
      <c r="S150" s="6"/>
      <c r="T150" s="4" t="str">
        <f>IF(DA150="","",SUBSTITUTE(SUBSTITUTE(SUBSTITUTE(SUBSTITUTE(SUBSTITUTE(SUBSTITUTE(SUBSTITUTE(SUBSTITUTE(SUBSTITUTE(SUBSTITUTE(SUBSTITUTE(DA150,"{会社}",設定!$B$3),"{自分}",設定!$B$4),"{サービス}",設定!$B$5),"{料金}",設定!$B$7),"{日付1}",設定!$B$8),"{日付2}",設定!$B$9),"{時間1}",設定!$B$10),"{時間2}",設定!$B$11),"{時間}","（指定時間）"),"{日付確定}","（確定日）"),"{時間確定}","（確定時間）"))</f>
        <v/>
      </c>
      <c r="U150" s="1" t="str">
        <f>IFERROR(VLOOKUP(CZ150,スクリプト_フロー!$A:$F,4,FALSE),"")</f>
        <v/>
      </c>
      <c r="V150" s="6" t="str">
        <f t="shared" si="38"/>
        <v/>
      </c>
      <c r="W150" s="6"/>
      <c r="X150" s="4" t="str">
        <f>IF(DC150="","",SUBSTITUTE(SUBSTITUTE(SUBSTITUTE(SUBSTITUTE(SUBSTITUTE(SUBSTITUTE(SUBSTITUTE(SUBSTITUTE(SUBSTITUTE(SUBSTITUTE(SUBSTITUTE(DC150,"{会社}",設定!$B$3),"{自分}",設定!$B$4),"{サービス}",設定!$B$5),"{料金}",設定!$B$7),"{日付1}",設定!$B$8),"{日付2}",設定!$B$9),"{時間1}",設定!$B$10),"{時間2}",設定!$B$11),"{時間}","（指定時間）"),"{日付確定}","（確定日）"),"{時間確定}","（確定時間）"))</f>
        <v/>
      </c>
      <c r="Y150" s="1" t="str">
        <f>IFERROR(VLOOKUP(DB150,スクリプト_フロー!$A:$F,4,FALSE),"")</f>
        <v/>
      </c>
      <c r="Z150" s="6" t="str">
        <f t="shared" si="39"/>
        <v/>
      </c>
      <c r="AA150" s="6"/>
      <c r="AB150" s="4" t="str">
        <f>IF(DE150="","",SUBSTITUTE(SUBSTITUTE(SUBSTITUTE(SUBSTITUTE(SUBSTITUTE(SUBSTITUTE(SUBSTITUTE(SUBSTITUTE(SUBSTITUTE(SUBSTITUTE(SUBSTITUTE(DE150,"{会社}",設定!$B$3),"{自分}",設定!$B$4),"{サービス}",設定!$B$5),"{料金}",設定!$B$7),"{日付1}",設定!$B$8),"{日付2}",設定!$B$9),"{時間1}",設定!$B$10),"{時間2}",設定!$B$11),"{時間}","（指定時間）"),"{日付確定}","（確定日）"),"{時間確定}","（確定時間）"))</f>
        <v/>
      </c>
      <c r="AC150" s="1" t="str">
        <f>IFERROR(VLOOKUP(DD150,スクリプト_フロー!$A:$F,4,FALSE),"")</f>
        <v/>
      </c>
      <c r="AD150" s="6" t="str">
        <f t="shared" si="40"/>
        <v/>
      </c>
      <c r="AE150" s="6"/>
      <c r="AF150" s="4" t="str">
        <f>IF(DG150="","",SUBSTITUTE(SUBSTITUTE(SUBSTITUTE(SUBSTITUTE(SUBSTITUTE(SUBSTITUTE(SUBSTITUTE(SUBSTITUTE(SUBSTITUTE(SUBSTITUTE(SUBSTITUTE(DG150,"{会社}",設定!$B$3),"{自分}",設定!$B$4),"{サービス}",設定!$B$5),"{料金}",設定!$B$7),"{日付1}",設定!$B$8),"{日付2}",設定!$B$9),"{時間1}",設定!$B$10),"{時間2}",設定!$B$11),"{時間}","（指定時間）"),"{日付確定}","（確定日）"),"{時間確定}","（確定時間）"))</f>
        <v/>
      </c>
      <c r="AG150" s="1" t="str">
        <f>IFERROR(VLOOKUP(DF150,スクリプト_フロー!$A:$F,4,FALSE),"")</f>
        <v/>
      </c>
      <c r="CZ150" s="1" t="str">
        <f t="shared" si="41"/>
        <v>|</v>
      </c>
      <c r="DA150" s="1" t="str">
        <f>IFERROR(VLOOKUP(CZ150,スクリプト_フロー!$A:$F,5,FALSE),"")</f>
        <v/>
      </c>
      <c r="DB150" s="1" t="str">
        <f t="shared" si="42"/>
        <v>|</v>
      </c>
      <c r="DC150" s="1" t="str">
        <f>IFERROR(VLOOKUP(DB150,スクリプト_フロー!$A:$F,5,FALSE),"")</f>
        <v/>
      </c>
      <c r="DD150" s="1" t="str">
        <f t="shared" si="43"/>
        <v>|</v>
      </c>
      <c r="DE150" s="1" t="str">
        <f>IFERROR(VLOOKUP(DD150,スクリプト_フロー!$A:$F,5,FALSE),"")</f>
        <v/>
      </c>
      <c r="DF150" s="1" t="str">
        <f t="shared" si="44"/>
        <v>|</v>
      </c>
      <c r="DG150" s="1" t="str">
        <f>IFERROR(VLOOKUP(DF150,スクリプト_フロー!$A:$F,5,FALSE),"")</f>
        <v/>
      </c>
    </row>
    <row r="152" spans="1:111" ht="40" customHeight="1">
      <c r="A152" s="15" t="s">
        <v>368</v>
      </c>
      <c r="B152" s="16"/>
      <c r="C152" s="16"/>
      <c r="D152" s="16"/>
      <c r="E152" s="16"/>
      <c r="F152" s="16"/>
      <c r="G152" s="16"/>
      <c r="H152" s="16"/>
      <c r="I152" s="16"/>
      <c r="J152" s="16"/>
      <c r="K152" s="16"/>
      <c r="L152" s="16"/>
      <c r="M152" s="16"/>
      <c r="N152" s="16"/>
      <c r="O152" s="16"/>
    </row>
  </sheetData>
  <mergeCells count="1">
    <mergeCell ref="A152:O152"/>
  </mergeCells>
  <phoneticPr fontId="1"/>
  <dataValidations count="7">
    <dataValidation type="list"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R2 R3 R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R134 R135 R136 R137 R138 R139 R140 R141 R142 R143 R144 R145 R146 R147 R148 R149 R150 V2 V3 V4 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V105 V106 V107 V108 V109 V110 V111 V112 V113 V114 V115 V116 V117 V118 V119 V120 V121 V122 V123 V124 V125 V126 V127 V128 V129 V130 V131 V132 V133 V134 V135 V136 V137 V138 V139 V140 V141 V142 V143 V144 V145 V146 V147 V148 V149 V150 Z2 Z3 Z4 Z5 Z6 Z7 Z8 Z9 Z10 Z11 Z12 Z13 Z14 Z15 Z16 Z17 Z18 Z19 Z20 Z21 Z22 Z23 Z24 Z25 Z26 Z27 Z28 Z29 Z30 Z31 Z32 Z33 Z34 Z35 Z36 Z37 Z38 Z39 Z40 Z41 Z42 Z43 Z44 Z45 Z46 Z47 Z48 Z49 Z50 Z51 Z52 Z53 Z54 Z55 Z56 Z57 Z58 Z59 Z60 Z61 Z62 Z63 Z64 Z65 Z66 Z67 Z68 Z69 Z70 Z71 Z72 Z73 Z74 Z75 Z76 Z77 Z78 Z79 Z80 Z81 Z82 Z83 Z84 Z85 Z86 Z87 Z88 Z89 Z90 Z91 Z92 Z93 Z94 Z95 Z96 Z97 Z98 Z99 Z100 Z101 Z102 Z103 Z104 Z105 Z106 Z107 Z108 Z109 Z110 Z111 Z112 Z113 Z114 Z115 Z116 Z117 Z118 Z119 Z120 Z121 Z122 Z123 Z124 Z125 Z126 Z127 Z128 Z129 Z130 Z131 Z132 Z133 Z134 Z135 Z136 Z137 Z138 Z139 Z140 Z141 Z142 Z143 Z144 Z145 Z146 Z147 Z148 Z149 Z150 AD2 AD3 AD4 AD5 AD6 AD7 AD8 AD9 AD10 AD11 AD12 AD13 AD14 AD15 AD16 AD17 AD18 AD19 AD20 AD21 AD22 AD23 AD24 AD25 AD26 AD27 AD28 AD29 AD30 AD31 AD32 AD33 AD34 AD35 AD36 AD37 AD38 AD39 AD40 AD41 AD42 AD43 AD44 AD45 AD46 AD47 AD48 AD49 AD50 AD51 AD52 AD53 AD54 AD55 AD56 AD57 AD58 AD59 AD60 AD61 AD62 AD63 AD64 AD65 AD66 AD67 AD68 AD69 AD70 AD71 AD72 AD73 AD74 AD75 AD76 AD77 AD78 AD79 AD80 AD81 AD82 AD83 AD84 AD85 AD86 AD87 AD88 AD89 AD90 AD91 AD92 AD93 AD94 AD95 AD96 AD97 AD98 AD99 AD100 AD101 AD102 AD103 AD104 AD105 AD106 AD107 AD108 AD109 AD110 AD111 AD112 AD113 AD114 AD115 AD116 AD117 AD118 AD119 AD120 AD121 AD122 AD123 AD124 AD125 AD126 AD127 AD128 AD129 AD130 AD131 AD132 AD133 AD134 AD135 AD136 AD137 AD138 AD139 AD140 AD141 AD142 AD143 AD144 AD145 AD146 AD147 AD148 AD149 AD150" xr:uid="{00000000-0002-0000-0100-000000000000}">
      <formula1>STAGE_LIST</formula1>
    </dataValidation>
    <dataValidation type="list"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xr:uid="{00000000-0002-0000-0100-000001000000}">
      <formula1>STATUS_LIST</formula1>
    </dataValidation>
    <dataValidation type="list" allowBlank="1"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xr:uid="{00000000-0002-0000-0100-000002000000}">
      <formula1>INDIRECT(VLOOKUP($G2,MAP_TABLE,2,FALSE))</formula1>
    </dataValidation>
    <dataValidation type="list" allowBlank="1" sqref="S2 S3 S4 S5 S6 S7 S8 S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105 S106 S107 S108 S109 S110 S111 S112 S113 S114 S115 S116 S117 S118 S119 S120 S121 S122 S123 S124 S125 S126 S127 S128 S129 S130 S131 S132 S133 S134 S135 S136 S137 S138 S139 S140 S141 S142 S143 S144 S145 S146 S147 S148 S149 S150" xr:uid="{00000000-0002-0000-0100-000003000000}">
      <formula1>INDIRECT(VLOOKUP($R2,MAP_TABLE,2,FALSE))</formula1>
    </dataValidation>
    <dataValidation type="list" allowBlank="1" sqref="W2 W3 W4 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W105 W106 W107 W108 W109 W110 W111 W112 W113 W114 W115 W116 W117 W118 W119 W120 W121 W122 W123 W124 W125 W126 W127 W128 W129 W130 W131 W132 W133 W134 W135 W136 W137 W138 W139 W140 W141 W142 W143 W144 W145 W146 W147 W148 W149 W150" xr:uid="{00000000-0002-0000-0100-000004000000}">
      <formula1>INDIRECT(VLOOKUP($V2,MAP_TABLE,2,FALSE))</formula1>
    </dataValidation>
    <dataValidation type="list" allowBlank="1" sqref="AA2 AA3 AA4 AA5 AA6 AA7 AA8 AA9 AA10 AA11 AA12 AA13 AA14 AA15 AA16 AA17 AA18 AA19 AA20 AA21 AA22 AA23 AA24 AA25 AA26 AA27 AA28 AA29 AA30 AA31 AA32 AA33 AA34 AA35 AA36 AA37 AA38 AA39 AA40 AA41 AA42 AA43 AA44 AA45 AA46 AA47 AA48 AA49 AA50 AA51 AA52 AA53 AA54 AA55 AA56 AA57 AA58 AA59 AA60 AA61 AA62 AA63 AA64 AA65 AA66 AA67 AA68 AA69 AA70 AA71 AA72 AA73 AA74 AA75 AA76 AA77 AA78 AA79 AA80 AA81 AA82 AA83 AA84 AA85 AA86 AA87 AA88 AA89 AA90 AA91 AA92 AA93 AA94 AA95 AA96 AA97 AA98 AA99 AA100 AA101 AA102 AA103 AA104 AA105 AA106 AA107 AA108 AA109 AA110 AA111 AA112 AA113 AA114 AA115 AA116 AA117 AA118 AA119 AA120 AA121 AA122 AA123 AA124 AA125 AA126 AA127 AA128 AA129 AA130 AA131 AA132 AA133 AA134 AA135 AA136 AA137 AA138 AA139 AA140 AA141 AA142 AA143 AA144 AA145 AA146 AA147 AA148 AA149 AA150" xr:uid="{00000000-0002-0000-0100-000005000000}">
      <formula1>INDIRECT(VLOOKUP($Z2,MAP_TABLE,2,FALSE))</formula1>
    </dataValidation>
    <dataValidation type="list" allowBlank="1" sqref="AE2 AE3 AE4 AE5 AE6 AE7 AE8 AE9 AE10 AE11 AE12 AE13 AE14 AE15 AE16 AE17 AE18 AE19 AE20 AE21 AE22 AE23 AE24 AE25 AE26 AE27 AE28 AE29 AE30 AE31 AE32 AE33 AE34 AE35 AE36 AE37 AE38 AE39 AE40 AE41 AE42 AE43 AE44 AE45 AE46 AE47 AE48 AE49 AE50 AE51 AE52 AE53 AE54 AE55 AE56 AE57 AE58 AE59 AE60 AE61 AE62 AE63 AE64 AE65 AE66 AE67 AE68 AE69 AE70 AE71 AE72 AE73 AE74 AE75 AE76 AE77 AE78 AE79 AE80 AE81 AE82 AE83 AE84 AE85 AE86 AE87 AE88 AE89 AE90 AE91 AE92 AE93 AE94 AE95 AE96 AE97 AE98 AE99 AE100 AE101 AE102 AE103 AE104 AE105 AE106 AE107 AE108 AE109 AE110 AE111 AE112 AE113 AE114 AE115 AE116 AE117 AE118 AE119 AE120 AE121 AE122 AE123 AE124 AE125 AE126 AE127 AE128 AE129 AE130 AE131 AE132 AE133 AE134 AE135 AE136 AE137 AE138 AE139 AE140 AE141 AE142 AE143 AE144 AE145 AE146 AE147 AE148 AE149 AE150" xr:uid="{00000000-0002-0000-0100-000006000000}">
      <formula1>INDIRECT(VLOOKUP($AD2,MAP_TABLE,2,FALSE))</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A1:D13"/>
  <sheetViews>
    <sheetView showGridLines="0" workbookViewId="0">
      <pane ySplit="2" topLeftCell="A3" activePane="bottomLeft" state="frozen"/>
      <selection pane="bottomLeft" activeCell="C8" sqref="C8"/>
    </sheetView>
  </sheetViews>
  <sheetFormatPr baseColWidth="10" defaultColWidth="8.7109375" defaultRowHeight="20"/>
  <cols>
    <col min="1" max="1" width="26" style="2" customWidth="1"/>
    <col min="2" max="2" width="52" style="2" customWidth="1"/>
    <col min="3" max="3" width="40" style="2" customWidth="1"/>
    <col min="4" max="4" width="10" style="2" customWidth="1"/>
  </cols>
  <sheetData>
    <row r="1" spans="1:4" ht="24">
      <c r="A1" s="17" t="s">
        <v>369</v>
      </c>
      <c r="B1" s="16"/>
      <c r="C1" s="16"/>
      <c r="D1" s="16"/>
    </row>
    <row r="2" spans="1:4" ht="22" customHeight="1">
      <c r="A2" s="7" t="s">
        <v>370</v>
      </c>
      <c r="B2" s="7" t="s">
        <v>371</v>
      </c>
      <c r="C2" s="7" t="s">
        <v>12</v>
      </c>
    </row>
    <row r="3" spans="1:4" ht="21">
      <c r="A3" s="8" t="s">
        <v>372</v>
      </c>
      <c r="B3" s="9" t="s">
        <v>373</v>
      </c>
      <c r="C3" s="8"/>
    </row>
    <row r="4" spans="1:4" ht="21">
      <c r="A4" s="8" t="s">
        <v>374</v>
      </c>
      <c r="B4" s="9" t="s">
        <v>926</v>
      </c>
      <c r="C4" s="8"/>
    </row>
    <row r="5" spans="1:4" ht="21">
      <c r="A5" s="8" t="s">
        <v>376</v>
      </c>
      <c r="B5" s="9" t="s">
        <v>925</v>
      </c>
      <c r="C5" s="8"/>
    </row>
    <row r="6" spans="1:4" ht="21">
      <c r="A6" s="8" t="s">
        <v>377</v>
      </c>
      <c r="B6" s="9" t="s">
        <v>924</v>
      </c>
      <c r="C6" s="8"/>
    </row>
    <row r="7" spans="1:4" ht="21">
      <c r="A7" s="8" t="s">
        <v>378</v>
      </c>
      <c r="B7" s="9" t="s">
        <v>375</v>
      </c>
      <c r="C7" s="8"/>
    </row>
    <row r="8" spans="1:4" ht="21">
      <c r="A8" s="8" t="s">
        <v>379</v>
      </c>
      <c r="B8" s="9" t="s">
        <v>380</v>
      </c>
      <c r="C8" s="8"/>
    </row>
    <row r="9" spans="1:4" ht="21">
      <c r="A9" s="8" t="s">
        <v>381</v>
      </c>
      <c r="B9" s="9" t="s">
        <v>380</v>
      </c>
      <c r="C9" s="8"/>
    </row>
    <row r="10" spans="1:4" ht="21">
      <c r="A10" s="8" t="s">
        <v>382</v>
      </c>
      <c r="B10" s="9" t="s">
        <v>383</v>
      </c>
      <c r="C10" s="8"/>
    </row>
    <row r="11" spans="1:4" ht="21">
      <c r="A11" s="8" t="s">
        <v>384</v>
      </c>
      <c r="B11" s="9" t="s">
        <v>383</v>
      </c>
      <c r="C11" s="8"/>
    </row>
    <row r="12" spans="1:4" ht="21">
      <c r="A12" s="8" t="s">
        <v>385</v>
      </c>
      <c r="B12" s="9"/>
      <c r="C12" s="8"/>
    </row>
    <row r="13" spans="1:4" ht="42">
      <c r="A13" s="8" t="s">
        <v>386</v>
      </c>
      <c r="B13" s="9" t="s">
        <v>387</v>
      </c>
      <c r="C13" s="8"/>
    </row>
  </sheetData>
  <mergeCells count="1">
    <mergeCell ref="A1:D1"/>
  </mergeCells>
  <phoneticPr fontId="1"/>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F46"/>
  <sheetViews>
    <sheetView showGridLines="0" workbookViewId="0">
      <pane ySplit="1" topLeftCell="A13" activePane="bottomLeft" state="frozen"/>
      <selection pane="bottomLeft" activeCell="E21" sqref="E21"/>
    </sheetView>
  </sheetViews>
  <sheetFormatPr baseColWidth="10" defaultColWidth="8.7109375" defaultRowHeight="20"/>
  <cols>
    <col min="1" max="1" width="32" style="2" customWidth="1"/>
    <col min="2" max="2" width="16" style="2" customWidth="1"/>
    <col min="3" max="3" width="26" style="2" customWidth="1"/>
    <col min="4" max="4" width="16" style="2" customWidth="1"/>
    <col min="5" max="5" width="95" style="2" customWidth="1"/>
    <col min="6" max="6" width="26" style="2" customWidth="1"/>
  </cols>
  <sheetData>
    <row r="1" spans="1:6" ht="24" customHeight="1">
      <c r="A1" s="12" t="s">
        <v>388</v>
      </c>
      <c r="B1" s="12" t="s">
        <v>389</v>
      </c>
      <c r="C1" s="12" t="s">
        <v>7</v>
      </c>
      <c r="D1" s="12" t="s">
        <v>390</v>
      </c>
      <c r="E1" s="12" t="s">
        <v>391</v>
      </c>
      <c r="F1" s="12" t="s">
        <v>392</v>
      </c>
    </row>
    <row r="2" spans="1:6" ht="63">
      <c r="A2" s="10" t="s">
        <v>393</v>
      </c>
      <c r="B2" s="10" t="s">
        <v>34</v>
      </c>
      <c r="C2" s="10" t="s">
        <v>394</v>
      </c>
      <c r="D2" s="10" t="s">
        <v>45</v>
      </c>
      <c r="E2" s="10" t="s">
        <v>395</v>
      </c>
      <c r="F2" s="10" t="s">
        <v>396</v>
      </c>
    </row>
    <row r="3" spans="1:6" ht="42">
      <c r="A3" s="10" t="s">
        <v>397</v>
      </c>
      <c r="B3" s="10" t="s">
        <v>34</v>
      </c>
      <c r="C3" s="10" t="s">
        <v>398</v>
      </c>
      <c r="D3" s="10" t="s">
        <v>63</v>
      </c>
      <c r="E3" s="10" t="s">
        <v>399</v>
      </c>
      <c r="F3" s="10"/>
    </row>
    <row r="4" spans="1:6" ht="42">
      <c r="A4" s="10" t="s">
        <v>400</v>
      </c>
      <c r="B4" s="10" t="s">
        <v>34</v>
      </c>
      <c r="C4" s="10" t="s">
        <v>401</v>
      </c>
      <c r="D4" s="10" t="s">
        <v>40</v>
      </c>
      <c r="E4" s="10" t="s">
        <v>402</v>
      </c>
      <c r="F4" s="10"/>
    </row>
    <row r="5" spans="1:6" ht="21">
      <c r="A5" s="10" t="s">
        <v>403</v>
      </c>
      <c r="B5" s="10" t="s">
        <v>34</v>
      </c>
      <c r="C5" s="10" t="s">
        <v>404</v>
      </c>
      <c r="D5" s="10" t="s">
        <v>109</v>
      </c>
      <c r="E5" s="10" t="s">
        <v>405</v>
      </c>
      <c r="F5" s="10" t="s">
        <v>406</v>
      </c>
    </row>
    <row r="6" spans="1:6" ht="42">
      <c r="A6" s="10" t="s">
        <v>407</v>
      </c>
      <c r="B6" s="10" t="s">
        <v>40</v>
      </c>
      <c r="C6" s="10" t="s">
        <v>408</v>
      </c>
      <c r="D6" s="10" t="s">
        <v>45</v>
      </c>
      <c r="E6" s="10" t="s">
        <v>409</v>
      </c>
      <c r="F6" s="10"/>
    </row>
    <row r="7" spans="1:6" ht="42">
      <c r="A7" s="10" t="s">
        <v>410</v>
      </c>
      <c r="B7" s="10" t="s">
        <v>40</v>
      </c>
      <c r="C7" s="10" t="s">
        <v>411</v>
      </c>
      <c r="D7" s="10" t="s">
        <v>63</v>
      </c>
      <c r="E7" s="10" t="s">
        <v>399</v>
      </c>
      <c r="F7" s="10"/>
    </row>
    <row r="8" spans="1:6" ht="21">
      <c r="A8" s="10" t="s">
        <v>412</v>
      </c>
      <c r="B8" s="10" t="s">
        <v>40</v>
      </c>
      <c r="C8" s="10" t="s">
        <v>413</v>
      </c>
      <c r="D8" s="10" t="s">
        <v>109</v>
      </c>
      <c r="E8" s="10" t="s">
        <v>414</v>
      </c>
      <c r="F8" s="10" t="s">
        <v>406</v>
      </c>
    </row>
    <row r="9" spans="1:6" ht="42">
      <c r="A9" s="10" t="s">
        <v>415</v>
      </c>
      <c r="B9" s="10" t="s">
        <v>45</v>
      </c>
      <c r="C9" s="10" t="s">
        <v>416</v>
      </c>
      <c r="D9" s="10" t="s">
        <v>63</v>
      </c>
      <c r="E9" s="10" t="s">
        <v>399</v>
      </c>
      <c r="F9" s="10"/>
    </row>
    <row r="10" spans="1:6" ht="42">
      <c r="A10" s="10" t="s">
        <v>417</v>
      </c>
      <c r="B10" s="10" t="s">
        <v>45</v>
      </c>
      <c r="C10" s="10" t="s">
        <v>418</v>
      </c>
      <c r="D10" s="10" t="s">
        <v>49</v>
      </c>
      <c r="E10" s="10" t="s">
        <v>419</v>
      </c>
      <c r="F10" s="10" t="s">
        <v>420</v>
      </c>
    </row>
    <row r="11" spans="1:6" ht="21">
      <c r="A11" s="10" t="s">
        <v>421</v>
      </c>
      <c r="B11" s="10" t="s">
        <v>45</v>
      </c>
      <c r="C11" s="10" t="s">
        <v>422</v>
      </c>
      <c r="D11" s="10" t="s">
        <v>54</v>
      </c>
      <c r="E11" s="10" t="s">
        <v>423</v>
      </c>
      <c r="F11" s="10"/>
    </row>
    <row r="12" spans="1:6" ht="42">
      <c r="A12" s="10" t="s">
        <v>424</v>
      </c>
      <c r="B12" s="10" t="s">
        <v>45</v>
      </c>
      <c r="C12" s="10" t="s">
        <v>425</v>
      </c>
      <c r="D12" s="10" t="s">
        <v>58</v>
      </c>
      <c r="E12" s="10" t="s">
        <v>426</v>
      </c>
      <c r="F12" s="10" t="s">
        <v>427</v>
      </c>
    </row>
    <row r="13" spans="1:6" ht="42">
      <c r="A13" s="10" t="s">
        <v>428</v>
      </c>
      <c r="B13" s="10" t="s">
        <v>49</v>
      </c>
      <c r="C13" s="10" t="s">
        <v>416</v>
      </c>
      <c r="D13" s="10" t="s">
        <v>63</v>
      </c>
      <c r="E13" s="10" t="s">
        <v>399</v>
      </c>
      <c r="F13" s="10"/>
    </row>
    <row r="14" spans="1:6" ht="21">
      <c r="A14" s="10" t="s">
        <v>429</v>
      </c>
      <c r="B14" s="10" t="s">
        <v>49</v>
      </c>
      <c r="C14" s="10" t="s">
        <v>422</v>
      </c>
      <c r="D14" s="10" t="s">
        <v>54</v>
      </c>
      <c r="E14" s="10" t="s">
        <v>423</v>
      </c>
      <c r="F14" s="10"/>
    </row>
    <row r="15" spans="1:6" ht="21">
      <c r="A15" s="10" t="s">
        <v>430</v>
      </c>
      <c r="B15" s="10" t="s">
        <v>49</v>
      </c>
      <c r="C15" s="10" t="s">
        <v>425</v>
      </c>
      <c r="D15" s="10" t="s">
        <v>58</v>
      </c>
      <c r="E15" s="10" t="s">
        <v>431</v>
      </c>
      <c r="F15" s="10"/>
    </row>
    <row r="16" spans="1:6" ht="42">
      <c r="A16" s="10" t="s">
        <v>432</v>
      </c>
      <c r="B16" s="10" t="s">
        <v>54</v>
      </c>
      <c r="C16" s="10" t="s">
        <v>433</v>
      </c>
      <c r="D16" s="10" t="s">
        <v>109</v>
      </c>
      <c r="E16" s="10" t="s">
        <v>434</v>
      </c>
      <c r="F16" s="10" t="s">
        <v>406</v>
      </c>
    </row>
    <row r="17" spans="1:6" ht="21">
      <c r="A17" s="10" t="s">
        <v>435</v>
      </c>
      <c r="B17" s="10" t="s">
        <v>54</v>
      </c>
      <c r="C17" s="10" t="s">
        <v>436</v>
      </c>
      <c r="D17" s="10" t="s">
        <v>109</v>
      </c>
      <c r="E17" s="10" t="s">
        <v>437</v>
      </c>
      <c r="F17" s="10" t="s">
        <v>406</v>
      </c>
    </row>
    <row r="18" spans="1:6" ht="63">
      <c r="A18" s="10" t="s">
        <v>438</v>
      </c>
      <c r="B18" s="10" t="s">
        <v>58</v>
      </c>
      <c r="C18" s="10" t="s">
        <v>439</v>
      </c>
      <c r="D18" s="10" t="s">
        <v>113</v>
      </c>
      <c r="E18" s="10" t="s">
        <v>440</v>
      </c>
      <c r="F18" s="10" t="s">
        <v>441</v>
      </c>
    </row>
    <row r="19" spans="1:6" ht="21">
      <c r="A19" s="10" t="s">
        <v>442</v>
      </c>
      <c r="B19" s="10" t="s">
        <v>58</v>
      </c>
      <c r="C19" s="10" t="s">
        <v>443</v>
      </c>
      <c r="D19" s="10" t="s">
        <v>118</v>
      </c>
      <c r="E19" s="10" t="s">
        <v>444</v>
      </c>
      <c r="F19" s="10" t="s">
        <v>406</v>
      </c>
    </row>
    <row r="20" spans="1:6" ht="42">
      <c r="A20" s="10" t="s">
        <v>445</v>
      </c>
      <c r="B20" s="10" t="s">
        <v>63</v>
      </c>
      <c r="C20" s="10" t="s">
        <v>446</v>
      </c>
      <c r="D20" s="10" t="s">
        <v>67</v>
      </c>
      <c r="E20" s="10" t="s">
        <v>927</v>
      </c>
      <c r="F20" s="10"/>
    </row>
    <row r="21" spans="1:6" ht="21">
      <c r="A21" s="10" t="s">
        <v>447</v>
      </c>
      <c r="B21" s="10" t="s">
        <v>63</v>
      </c>
      <c r="C21" s="10" t="s">
        <v>448</v>
      </c>
      <c r="D21" s="10" t="s">
        <v>104</v>
      </c>
      <c r="E21" s="10" t="s">
        <v>449</v>
      </c>
      <c r="F21" s="10"/>
    </row>
    <row r="22" spans="1:6" ht="63">
      <c r="A22" s="10" t="s">
        <v>450</v>
      </c>
      <c r="B22" s="10" t="s">
        <v>67</v>
      </c>
      <c r="C22" s="10" t="s">
        <v>451</v>
      </c>
      <c r="D22" s="10" t="s">
        <v>80</v>
      </c>
      <c r="E22" s="10" t="s">
        <v>452</v>
      </c>
      <c r="F22" s="10"/>
    </row>
    <row r="23" spans="1:6" ht="21">
      <c r="A23" s="10" t="s">
        <v>453</v>
      </c>
      <c r="B23" s="10" t="s">
        <v>67</v>
      </c>
      <c r="C23" s="10" t="s">
        <v>454</v>
      </c>
      <c r="D23" s="10" t="s">
        <v>71</v>
      </c>
      <c r="E23" s="10" t="s">
        <v>455</v>
      </c>
      <c r="F23" s="10"/>
    </row>
    <row r="24" spans="1:6" ht="21">
      <c r="A24" s="10" t="s">
        <v>456</v>
      </c>
      <c r="B24" s="10" t="s">
        <v>67</v>
      </c>
      <c r="C24" s="10" t="s">
        <v>457</v>
      </c>
      <c r="D24" s="10" t="s">
        <v>75</v>
      </c>
      <c r="E24" s="10" t="s">
        <v>458</v>
      </c>
      <c r="F24" s="10"/>
    </row>
    <row r="25" spans="1:6" ht="21">
      <c r="A25" s="10" t="s">
        <v>459</v>
      </c>
      <c r="B25" s="10" t="s">
        <v>67</v>
      </c>
      <c r="C25" s="10" t="s">
        <v>460</v>
      </c>
      <c r="D25" s="10" t="s">
        <v>58</v>
      </c>
      <c r="E25" s="10" t="s">
        <v>461</v>
      </c>
      <c r="F25" s="10"/>
    </row>
    <row r="26" spans="1:6" ht="30" customHeight="1">
      <c r="A26" s="18" t="s">
        <v>462</v>
      </c>
      <c r="B26" s="19"/>
      <c r="C26" s="19"/>
      <c r="D26" s="19"/>
      <c r="E26" s="19"/>
      <c r="F26" s="20"/>
    </row>
    <row r="27" spans="1:6" ht="84">
      <c r="A27" s="10" t="s">
        <v>463</v>
      </c>
      <c r="B27" s="10" t="s">
        <v>71</v>
      </c>
      <c r="C27" s="10" t="s">
        <v>464</v>
      </c>
      <c r="D27" s="10" t="s">
        <v>80</v>
      </c>
      <c r="E27" s="10" t="s">
        <v>465</v>
      </c>
      <c r="F27" s="10"/>
    </row>
    <row r="28" spans="1:6" ht="21">
      <c r="A28" s="10" t="s">
        <v>466</v>
      </c>
      <c r="B28" s="10" t="s">
        <v>71</v>
      </c>
      <c r="C28" s="10" t="s">
        <v>467</v>
      </c>
      <c r="D28" s="10" t="s">
        <v>118</v>
      </c>
      <c r="E28" s="10" t="s">
        <v>468</v>
      </c>
      <c r="F28" s="10" t="s">
        <v>406</v>
      </c>
    </row>
    <row r="29" spans="1:6" ht="63">
      <c r="A29" s="10" t="s">
        <v>469</v>
      </c>
      <c r="B29" s="10" t="s">
        <v>75</v>
      </c>
      <c r="C29" s="10" t="s">
        <v>464</v>
      </c>
      <c r="D29" s="10" t="s">
        <v>80</v>
      </c>
      <c r="E29" s="10" t="s">
        <v>470</v>
      </c>
      <c r="F29" s="10"/>
    </row>
    <row r="30" spans="1:6" ht="21">
      <c r="A30" s="10" t="s">
        <v>471</v>
      </c>
      <c r="B30" s="10" t="s">
        <v>75</v>
      </c>
      <c r="C30" s="10" t="s">
        <v>472</v>
      </c>
      <c r="D30" s="10" t="s">
        <v>118</v>
      </c>
      <c r="E30" s="10" t="s">
        <v>473</v>
      </c>
      <c r="F30" s="10" t="s">
        <v>406</v>
      </c>
    </row>
    <row r="31" spans="1:6" ht="42">
      <c r="A31" s="10" t="s">
        <v>474</v>
      </c>
      <c r="B31" s="10" t="s">
        <v>80</v>
      </c>
      <c r="C31" s="10" t="s">
        <v>475</v>
      </c>
      <c r="D31" s="10" t="s">
        <v>95</v>
      </c>
      <c r="E31" s="10" t="s">
        <v>476</v>
      </c>
      <c r="F31" s="10"/>
    </row>
    <row r="32" spans="1:6" ht="42">
      <c r="A32" s="10" t="s">
        <v>477</v>
      </c>
      <c r="B32" s="10" t="s">
        <v>80</v>
      </c>
      <c r="C32" s="10" t="s">
        <v>478</v>
      </c>
      <c r="D32" s="10" t="s">
        <v>85</v>
      </c>
      <c r="E32" s="10" t="s">
        <v>479</v>
      </c>
      <c r="F32" s="10"/>
    </row>
    <row r="33" spans="1:6" ht="42">
      <c r="A33" s="10" t="s">
        <v>480</v>
      </c>
      <c r="B33" s="10" t="s">
        <v>80</v>
      </c>
      <c r="C33" s="10" t="s">
        <v>481</v>
      </c>
      <c r="D33" s="10" t="s">
        <v>90</v>
      </c>
      <c r="E33" s="10" t="s">
        <v>482</v>
      </c>
      <c r="F33" s="10"/>
    </row>
    <row r="34" spans="1:6" ht="21">
      <c r="A34" s="10" t="s">
        <v>483</v>
      </c>
      <c r="B34" s="10" t="s">
        <v>80</v>
      </c>
      <c r="C34" s="10" t="s">
        <v>484</v>
      </c>
      <c r="D34" s="10" t="s">
        <v>58</v>
      </c>
      <c r="E34" s="10" t="s">
        <v>485</v>
      </c>
      <c r="F34" s="10"/>
    </row>
    <row r="35" spans="1:6" ht="42">
      <c r="A35" s="10" t="s">
        <v>486</v>
      </c>
      <c r="B35" s="10" t="s">
        <v>85</v>
      </c>
      <c r="C35" s="10" t="s">
        <v>487</v>
      </c>
      <c r="D35" s="10" t="s">
        <v>95</v>
      </c>
      <c r="E35" s="10" t="s">
        <v>488</v>
      </c>
      <c r="F35" s="10"/>
    </row>
    <row r="36" spans="1:6" ht="21">
      <c r="A36" s="10" t="s">
        <v>489</v>
      </c>
      <c r="B36" s="10" t="s">
        <v>85</v>
      </c>
      <c r="C36" s="10" t="s">
        <v>490</v>
      </c>
      <c r="D36" s="10" t="s">
        <v>118</v>
      </c>
      <c r="E36" s="10" t="s">
        <v>491</v>
      </c>
      <c r="F36" s="10" t="s">
        <v>406</v>
      </c>
    </row>
    <row r="37" spans="1:6" ht="42">
      <c r="A37" s="10" t="s">
        <v>492</v>
      </c>
      <c r="B37" s="10" t="s">
        <v>90</v>
      </c>
      <c r="C37" s="10" t="s">
        <v>493</v>
      </c>
      <c r="D37" s="10" t="s">
        <v>95</v>
      </c>
      <c r="E37" s="10" t="s">
        <v>494</v>
      </c>
      <c r="F37" s="10"/>
    </row>
    <row r="38" spans="1:6" ht="21">
      <c r="A38" s="10" t="s">
        <v>495</v>
      </c>
      <c r="B38" s="10" t="s">
        <v>90</v>
      </c>
      <c r="C38" s="10" t="s">
        <v>496</v>
      </c>
      <c r="D38" s="10" t="s">
        <v>58</v>
      </c>
      <c r="E38" s="10" t="s">
        <v>497</v>
      </c>
      <c r="F38" s="10"/>
    </row>
    <row r="39" spans="1:6" ht="63">
      <c r="A39" s="10" t="s">
        <v>498</v>
      </c>
      <c r="B39" s="10" t="s">
        <v>95</v>
      </c>
      <c r="C39" s="10" t="s">
        <v>499</v>
      </c>
      <c r="D39" s="10" t="s">
        <v>99</v>
      </c>
      <c r="E39" s="10" t="s">
        <v>500</v>
      </c>
      <c r="F39" s="10" t="s">
        <v>406</v>
      </c>
    </row>
    <row r="40" spans="1:6" ht="21">
      <c r="A40" s="10" t="s">
        <v>501</v>
      </c>
      <c r="B40" s="10" t="s">
        <v>95</v>
      </c>
      <c r="C40" s="10" t="s">
        <v>502</v>
      </c>
      <c r="D40" s="10" t="s">
        <v>104</v>
      </c>
      <c r="E40" s="10" t="s">
        <v>503</v>
      </c>
      <c r="F40" s="10"/>
    </row>
    <row r="41" spans="1:6" ht="21">
      <c r="A41" s="10" t="s">
        <v>504</v>
      </c>
      <c r="B41" s="10" t="s">
        <v>99</v>
      </c>
      <c r="C41" s="10" t="s">
        <v>505</v>
      </c>
      <c r="D41" s="10" t="s">
        <v>118</v>
      </c>
      <c r="E41" s="10" t="s">
        <v>506</v>
      </c>
      <c r="F41" s="10" t="s">
        <v>406</v>
      </c>
    </row>
    <row r="42" spans="1:6" ht="42">
      <c r="A42" s="10" t="s">
        <v>507</v>
      </c>
      <c r="B42" s="10" t="s">
        <v>104</v>
      </c>
      <c r="C42" s="10" t="s">
        <v>508</v>
      </c>
      <c r="D42" s="10" t="s">
        <v>109</v>
      </c>
      <c r="E42" s="10" t="s">
        <v>509</v>
      </c>
      <c r="F42" s="10" t="s">
        <v>406</v>
      </c>
    </row>
    <row r="43" spans="1:6" ht="21">
      <c r="A43" s="10" t="s">
        <v>510</v>
      </c>
      <c r="B43" s="10" t="s">
        <v>104</v>
      </c>
      <c r="C43" s="10" t="s">
        <v>511</v>
      </c>
      <c r="D43" s="10" t="s">
        <v>109</v>
      </c>
      <c r="E43" s="10" t="s">
        <v>512</v>
      </c>
      <c r="F43" s="10" t="s">
        <v>406</v>
      </c>
    </row>
    <row r="44" spans="1:6" ht="21">
      <c r="A44" s="10" t="s">
        <v>513</v>
      </c>
      <c r="B44" s="10" t="s">
        <v>109</v>
      </c>
      <c r="C44" s="10" t="s">
        <v>514</v>
      </c>
      <c r="D44" s="10" t="s">
        <v>118</v>
      </c>
      <c r="E44" s="10" t="s">
        <v>515</v>
      </c>
      <c r="F44" s="10" t="s">
        <v>516</v>
      </c>
    </row>
    <row r="45" spans="1:6" ht="21">
      <c r="A45" s="10" t="s">
        <v>517</v>
      </c>
      <c r="B45" s="10" t="s">
        <v>113</v>
      </c>
      <c r="C45" s="10" t="s">
        <v>518</v>
      </c>
      <c r="D45" s="10" t="s">
        <v>118</v>
      </c>
      <c r="E45" s="10" t="s">
        <v>519</v>
      </c>
      <c r="F45" s="10" t="s">
        <v>516</v>
      </c>
    </row>
    <row r="46" spans="1:6" ht="21">
      <c r="A46" s="10" t="s">
        <v>520</v>
      </c>
      <c r="B46" s="10" t="s">
        <v>118</v>
      </c>
      <c r="C46" s="10" t="s">
        <v>521</v>
      </c>
      <c r="D46" s="10"/>
      <c r="E46" s="10" t="s">
        <v>522</v>
      </c>
      <c r="F46" s="10" t="s">
        <v>406</v>
      </c>
    </row>
  </sheetData>
  <autoFilter ref="A1:F46" xr:uid="{00000000-0009-0000-0000-000003000000}"/>
  <mergeCells count="1">
    <mergeCell ref="A26:F26"/>
  </mergeCells>
  <phoneticPr fontId="1"/>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3AAC2-A134-AE47-A7B0-476B800563AA}">
  <dimension ref="B2:B130"/>
  <sheetViews>
    <sheetView showGridLines="0" workbookViewId="0">
      <selection activeCell="B85" sqref="B85"/>
    </sheetView>
  </sheetViews>
  <sheetFormatPr baseColWidth="10" defaultRowHeight="20"/>
  <cols>
    <col min="1" max="1" width="6.85546875" customWidth="1"/>
  </cols>
  <sheetData>
    <row r="2" spans="2:2" ht="31">
      <c r="B2" s="13" t="s">
        <v>986</v>
      </c>
    </row>
    <row r="4" spans="2:2">
      <c r="B4" t="s">
        <v>928</v>
      </c>
    </row>
    <row r="6" spans="2:2">
      <c r="B6" s="14" t="s">
        <v>930</v>
      </c>
    </row>
    <row r="8" spans="2:2">
      <c r="B8" t="s">
        <v>931</v>
      </c>
    </row>
    <row r="9" spans="2:2">
      <c r="B9" t="s">
        <v>997</v>
      </c>
    </row>
    <row r="10" spans="2:2">
      <c r="B10" t="s">
        <v>932</v>
      </c>
    </row>
    <row r="12" spans="2:2">
      <c r="B12" t="s">
        <v>933</v>
      </c>
    </row>
    <row r="14" spans="2:2">
      <c r="B14" t="s">
        <v>934</v>
      </c>
    </row>
    <row r="16" spans="2:2">
      <c r="B16" t="s">
        <v>935</v>
      </c>
    </row>
    <row r="17" spans="2:2">
      <c r="B17" t="s">
        <v>999</v>
      </c>
    </row>
    <row r="18" spans="2:2">
      <c r="B18" t="s">
        <v>936</v>
      </c>
    </row>
    <row r="19" spans="2:2">
      <c r="B19" t="s">
        <v>996</v>
      </c>
    </row>
    <row r="20" spans="2:2">
      <c r="B20" s="14" t="s">
        <v>937</v>
      </c>
    </row>
    <row r="24" spans="2:2" ht="31">
      <c r="B24" s="13" t="s">
        <v>938</v>
      </c>
    </row>
    <row r="26" spans="2:2">
      <c r="B26" t="s">
        <v>939</v>
      </c>
    </row>
    <row r="28" spans="2:2">
      <c r="B28" s="14" t="s">
        <v>940</v>
      </c>
    </row>
    <row r="30" spans="2:2">
      <c r="B30" t="s">
        <v>929</v>
      </c>
    </row>
    <row r="32" spans="2:2">
      <c r="B32" t="s">
        <v>941</v>
      </c>
    </row>
    <row r="34" spans="2:2">
      <c r="B34" t="s">
        <v>942</v>
      </c>
    </row>
    <row r="36" spans="2:2">
      <c r="B36" t="s">
        <v>943</v>
      </c>
    </row>
    <row r="38" spans="2:2">
      <c r="B38" s="14" t="s">
        <v>944</v>
      </c>
    </row>
    <row r="40" spans="2:2">
      <c r="B40" t="s">
        <v>945</v>
      </c>
    </row>
    <row r="42" spans="2:2">
      <c r="B42" t="s">
        <v>946</v>
      </c>
    </row>
    <row r="44" spans="2:2">
      <c r="B44" s="14" t="s">
        <v>947</v>
      </c>
    </row>
    <row r="48" spans="2:2" ht="31">
      <c r="B48" s="13" t="s">
        <v>948</v>
      </c>
    </row>
    <row r="50" spans="2:2">
      <c r="B50" t="s">
        <v>949</v>
      </c>
    </row>
    <row r="52" spans="2:2">
      <c r="B52" s="14" t="s">
        <v>950</v>
      </c>
    </row>
    <row r="54" spans="2:2">
      <c r="B54" t="s">
        <v>951</v>
      </c>
    </row>
    <row r="56" spans="2:2">
      <c r="B56" s="14" t="s">
        <v>952</v>
      </c>
    </row>
    <row r="58" spans="2:2">
      <c r="B58" t="s">
        <v>953</v>
      </c>
    </row>
    <row r="60" spans="2:2">
      <c r="B60" s="14" t="s">
        <v>954</v>
      </c>
    </row>
    <row r="62" spans="2:2">
      <c r="B62" t="s">
        <v>955</v>
      </c>
    </row>
    <row r="64" spans="2:2">
      <c r="B64" t="s">
        <v>956</v>
      </c>
    </row>
    <row r="66" spans="2:2">
      <c r="B66" s="14" t="s">
        <v>957</v>
      </c>
    </row>
    <row r="70" spans="2:2" ht="31">
      <c r="B70" s="13" t="s">
        <v>968</v>
      </c>
    </row>
    <row r="72" spans="2:2">
      <c r="B72" t="s">
        <v>958</v>
      </c>
    </row>
    <row r="74" spans="2:2">
      <c r="B74" s="14" t="s">
        <v>959</v>
      </c>
    </row>
    <row r="76" spans="2:2">
      <c r="B76" t="s">
        <v>960</v>
      </c>
    </row>
    <row r="78" spans="2:2">
      <c r="B78" t="s">
        <v>961</v>
      </c>
    </row>
    <row r="80" spans="2:2">
      <c r="B80" t="s">
        <v>962</v>
      </c>
    </row>
    <row r="81" spans="2:2">
      <c r="B81" t="s">
        <v>1000</v>
      </c>
    </row>
    <row r="82" spans="2:2">
      <c r="B82" t="s">
        <v>963</v>
      </c>
    </row>
    <row r="84" spans="2:2">
      <c r="B84" t="s">
        <v>964</v>
      </c>
    </row>
    <row r="86" spans="2:2">
      <c r="B86" s="14" t="s">
        <v>965</v>
      </c>
    </row>
    <row r="88" spans="2:2">
      <c r="B88" t="s">
        <v>966</v>
      </c>
    </row>
    <row r="90" spans="2:2">
      <c r="B90" t="s">
        <v>967</v>
      </c>
    </row>
    <row r="94" spans="2:2" ht="31">
      <c r="B94" s="13" t="s">
        <v>969</v>
      </c>
    </row>
    <row r="96" spans="2:2">
      <c r="B96" t="s">
        <v>970</v>
      </c>
    </row>
    <row r="98" spans="2:2">
      <c r="B98" s="14" t="s">
        <v>971</v>
      </c>
    </row>
    <row r="100" spans="2:2">
      <c r="B100" t="s">
        <v>972</v>
      </c>
    </row>
    <row r="102" spans="2:2">
      <c r="B102" s="14" t="s">
        <v>973</v>
      </c>
    </row>
    <row r="104" spans="2:2">
      <c r="B104" s="14" t="s">
        <v>974</v>
      </c>
    </row>
    <row r="108" spans="2:2" ht="31">
      <c r="B108" s="13" t="s">
        <v>975</v>
      </c>
    </row>
    <row r="110" spans="2:2">
      <c r="B110" t="s">
        <v>976</v>
      </c>
    </row>
    <row r="112" spans="2:2">
      <c r="B112" s="14" t="s">
        <v>977</v>
      </c>
    </row>
    <row r="114" spans="2:2">
      <c r="B114" t="s">
        <v>978</v>
      </c>
    </row>
    <row r="116" spans="2:2">
      <c r="B116" t="s">
        <v>979</v>
      </c>
    </row>
    <row r="118" spans="2:2">
      <c r="B118" s="14" t="s">
        <v>980</v>
      </c>
    </row>
    <row r="120" spans="2:2">
      <c r="B120" t="s">
        <v>981</v>
      </c>
    </row>
    <row r="124" spans="2:2" ht="31">
      <c r="B124" s="13" t="s">
        <v>982</v>
      </c>
    </row>
    <row r="126" spans="2:2">
      <c r="B126" t="s">
        <v>983</v>
      </c>
    </row>
    <row r="128" spans="2:2">
      <c r="B128" t="s">
        <v>984</v>
      </c>
    </row>
    <row r="130" spans="2:2">
      <c r="B130" t="s">
        <v>985</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0FE20-9715-5B44-BFA5-2D6CD7160414}">
  <dimension ref="A1:I5"/>
  <sheetViews>
    <sheetView workbookViewId="0">
      <selection activeCell="F4" sqref="F4"/>
    </sheetView>
  </sheetViews>
  <sheetFormatPr baseColWidth="10" defaultRowHeight="20"/>
  <sheetData>
    <row r="1" spans="1:9">
      <c r="I1">
        <v>6</v>
      </c>
    </row>
    <row r="2" spans="1:9">
      <c r="B2">
        <v>15000</v>
      </c>
      <c r="D2">
        <v>300000</v>
      </c>
      <c r="F2">
        <v>18000</v>
      </c>
      <c r="G2">
        <f>F2*I1</f>
        <v>108000</v>
      </c>
    </row>
    <row r="3" spans="1:9">
      <c r="B3">
        <v>36</v>
      </c>
      <c r="D3">
        <v>4000</v>
      </c>
      <c r="F3">
        <v>24</v>
      </c>
    </row>
    <row r="4" spans="1:9">
      <c r="B4">
        <f>B2*B3</f>
        <v>540000</v>
      </c>
      <c r="D4">
        <f>D2+(D3*24)</f>
        <v>396000</v>
      </c>
      <c r="F4">
        <f>F2*F3</f>
        <v>432000</v>
      </c>
    </row>
    <row r="5" spans="1:9">
      <c r="A5" t="s">
        <v>998</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F5968-E439-6A40-85A6-0F46DAF91B56}">
  <dimension ref="B11:J22"/>
  <sheetViews>
    <sheetView showGridLines="0" topLeftCell="A2" zoomScale="108" workbookViewId="0">
      <selection activeCell="A3" sqref="A3"/>
    </sheetView>
  </sheetViews>
  <sheetFormatPr baseColWidth="10" defaultRowHeight="20"/>
  <cols>
    <col min="1" max="1" width="5.42578125" customWidth="1"/>
  </cols>
  <sheetData>
    <row r="11" spans="2:10">
      <c r="J11" t="s">
        <v>995</v>
      </c>
    </row>
    <row r="15" spans="2:10">
      <c r="B15" t="s">
        <v>994</v>
      </c>
    </row>
    <row r="16" spans="2:10">
      <c r="B16" t="s">
        <v>993</v>
      </c>
    </row>
    <row r="17" spans="2:2">
      <c r="B17" t="s">
        <v>991</v>
      </c>
    </row>
    <row r="18" spans="2:2">
      <c r="B18" t="s">
        <v>987</v>
      </c>
    </row>
    <row r="19" spans="2:2">
      <c r="B19" t="s">
        <v>990</v>
      </c>
    </row>
    <row r="20" spans="2:2">
      <c r="B20" t="s">
        <v>988</v>
      </c>
    </row>
    <row r="21" spans="2:2">
      <c r="B21" t="s">
        <v>989</v>
      </c>
    </row>
    <row r="22" spans="2:2">
      <c r="B22" t="s">
        <v>992</v>
      </c>
    </row>
  </sheetData>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8"/>
  <sheetViews>
    <sheetView showGridLines="0" workbookViewId="0">
      <pane ySplit="1" topLeftCell="A2" activePane="bottomLeft" state="frozen"/>
      <selection pane="bottomLeft" activeCell="C3" sqref="C3"/>
    </sheetView>
  </sheetViews>
  <sheetFormatPr baseColWidth="10" defaultColWidth="8.7109375" defaultRowHeight="20"/>
  <cols>
    <col min="1" max="1" width="18" style="2" customWidth="1"/>
    <col min="2" max="2" width="42" style="2" customWidth="1"/>
    <col min="3" max="3" width="90" style="2" customWidth="1"/>
    <col min="4" max="4" width="42" style="2" customWidth="1"/>
    <col min="6" max="6" width="42" style="2" customWidth="1"/>
    <col min="7" max="7" width="90" style="2" customWidth="1"/>
  </cols>
  <sheetData>
    <row r="1" spans="1:7" ht="24" customHeight="1">
      <c r="A1" s="5" t="s">
        <v>523</v>
      </c>
      <c r="B1" s="5" t="s">
        <v>524</v>
      </c>
      <c r="C1" s="5" t="s">
        <v>525</v>
      </c>
      <c r="D1" s="5" t="s">
        <v>526</v>
      </c>
      <c r="F1" s="21" t="s">
        <v>527</v>
      </c>
      <c r="G1" s="16"/>
    </row>
    <row r="2" spans="1:7" ht="42">
      <c r="A2" s="10" t="s">
        <v>528</v>
      </c>
      <c r="B2" s="10" t="s">
        <v>529</v>
      </c>
      <c r="C2" s="10" t="s">
        <v>530</v>
      </c>
      <c r="D2" s="10"/>
      <c r="F2" s="7" t="s">
        <v>531</v>
      </c>
      <c r="G2" s="7" t="s">
        <v>532</v>
      </c>
    </row>
    <row r="3" spans="1:7" ht="90" customHeight="1">
      <c r="A3" s="10" t="s">
        <v>533</v>
      </c>
      <c r="B3" s="10" t="s">
        <v>534</v>
      </c>
      <c r="C3" s="10" t="s">
        <v>535</v>
      </c>
      <c r="D3" s="10"/>
      <c r="F3" s="1"/>
      <c r="G3" s="4" t="str">
        <f>IFERROR(VLOOKUP(F3,$B$2:$C$200,2,FALSE),"")</f>
        <v/>
      </c>
    </row>
    <row r="4" spans="1:7" ht="42">
      <c r="A4" s="10" t="s">
        <v>536</v>
      </c>
      <c r="B4" s="10" t="s">
        <v>537</v>
      </c>
      <c r="C4" s="10" t="s">
        <v>538</v>
      </c>
      <c r="D4" s="10"/>
    </row>
    <row r="5" spans="1:7" ht="42">
      <c r="A5" s="10" t="s">
        <v>539</v>
      </c>
      <c r="B5" s="10" t="s">
        <v>540</v>
      </c>
      <c r="C5" s="10" t="s">
        <v>541</v>
      </c>
      <c r="D5" s="10"/>
    </row>
    <row r="6" spans="1:7" ht="42">
      <c r="A6" s="10" t="s">
        <v>542</v>
      </c>
      <c r="B6" s="10" t="s">
        <v>543</v>
      </c>
      <c r="C6" s="10" t="s">
        <v>544</v>
      </c>
      <c r="D6" s="10"/>
    </row>
    <row r="7" spans="1:7" ht="42">
      <c r="A7" s="10" t="s">
        <v>545</v>
      </c>
      <c r="B7" s="10" t="s">
        <v>546</v>
      </c>
      <c r="C7" s="10" t="s">
        <v>547</v>
      </c>
      <c r="D7" s="10"/>
    </row>
    <row r="8" spans="1:7" ht="21">
      <c r="A8" s="10" t="s">
        <v>548</v>
      </c>
      <c r="B8" s="10" t="s">
        <v>549</v>
      </c>
      <c r="C8" s="10" t="s">
        <v>550</v>
      </c>
      <c r="D8" s="10"/>
    </row>
  </sheetData>
  <mergeCells count="1">
    <mergeCell ref="F1:G1"/>
  </mergeCells>
  <phoneticPr fontId="1"/>
  <dataValidations count="1">
    <dataValidation type="list" allowBlank="1" sqref="F3" xr:uid="{00000000-0002-0000-0400-000000000000}">
      <formula1>$B$2:$B$200</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50"/>
  <sheetViews>
    <sheetView topLeftCell="B1" zoomScale="57" workbookViewId="0">
      <pane ySplit="1" topLeftCell="A2" activePane="bottomLeft" state="frozen"/>
      <selection sqref="A1:L1"/>
      <selection pane="bottomLeft" activeCell="H16" sqref="H16"/>
    </sheetView>
  </sheetViews>
  <sheetFormatPr baseColWidth="10" defaultRowHeight="20"/>
  <cols>
    <col min="1" max="1" width="5" style="2" customWidth="1"/>
    <col min="2" max="2" width="18" style="2" customWidth="1"/>
    <col min="3" max="3" width="24" style="2" customWidth="1"/>
    <col min="4" max="4" width="28" style="2" customWidth="1"/>
    <col min="5" max="5" width="15" style="2" customWidth="1"/>
    <col min="6" max="6" width="30" style="2" customWidth="1"/>
    <col min="7" max="8" width="22" style="2" customWidth="1"/>
    <col min="9" max="10" width="16" style="2" customWidth="1"/>
    <col min="11" max="11" width="45" style="2" customWidth="1"/>
    <col min="12" max="12" width="14" style="2" customWidth="1"/>
    <col min="13" max="13" width="30" style="2" customWidth="1"/>
    <col min="14" max="14" width="50" style="2" customWidth="1"/>
  </cols>
  <sheetData>
    <row r="1" spans="1:14" ht="21">
      <c r="A1" s="3" t="s">
        <v>0</v>
      </c>
      <c r="B1" s="3" t="s">
        <v>551</v>
      </c>
      <c r="C1" s="3" t="s">
        <v>552</v>
      </c>
      <c r="D1" s="3" t="s">
        <v>553</v>
      </c>
      <c r="E1" s="3" t="s">
        <v>2</v>
      </c>
      <c r="F1" s="3" t="s">
        <v>554</v>
      </c>
      <c r="G1" s="3" t="s">
        <v>555</v>
      </c>
      <c r="H1" s="3" t="s">
        <v>556</v>
      </c>
      <c r="I1" s="3" t="s">
        <v>557</v>
      </c>
      <c r="J1" s="3" t="s">
        <v>558</v>
      </c>
      <c r="K1" s="3" t="s">
        <v>559</v>
      </c>
      <c r="L1" s="3" t="s">
        <v>3</v>
      </c>
      <c r="M1" s="3" t="s">
        <v>560</v>
      </c>
      <c r="N1" s="3" t="s">
        <v>561</v>
      </c>
    </row>
    <row r="2" spans="1:14" ht="84">
      <c r="A2" s="1">
        <v>1</v>
      </c>
      <c r="B2" s="4" t="s">
        <v>562</v>
      </c>
      <c r="C2" s="4" t="s">
        <v>563</v>
      </c>
      <c r="D2" s="4" t="s">
        <v>31</v>
      </c>
      <c r="E2" s="1" t="s">
        <v>32</v>
      </c>
      <c r="F2" s="4" t="s">
        <v>564</v>
      </c>
      <c r="G2" s="4" t="s">
        <v>565</v>
      </c>
      <c r="H2" s="4" t="s">
        <v>566</v>
      </c>
      <c r="I2" s="4" t="s">
        <v>567</v>
      </c>
      <c r="J2" s="4" t="s">
        <v>568</v>
      </c>
      <c r="K2" s="4" t="s">
        <v>569</v>
      </c>
      <c r="L2" s="4" t="s">
        <v>33</v>
      </c>
      <c r="M2" s="4" t="s">
        <v>570</v>
      </c>
      <c r="N2" s="4" t="s">
        <v>571</v>
      </c>
    </row>
    <row r="3" spans="1:14" ht="63">
      <c r="A3" s="1">
        <v>2</v>
      </c>
      <c r="B3" s="4" t="s">
        <v>572</v>
      </c>
      <c r="C3" s="4" t="s">
        <v>573</v>
      </c>
      <c r="D3" s="4" t="s">
        <v>37</v>
      </c>
      <c r="E3" s="1" t="s">
        <v>38</v>
      </c>
      <c r="F3" s="4" t="s">
        <v>574</v>
      </c>
      <c r="G3" s="4" t="s">
        <v>575</v>
      </c>
      <c r="H3" s="4" t="s">
        <v>576</v>
      </c>
      <c r="I3" s="4" t="s">
        <v>577</v>
      </c>
      <c r="J3" s="4" t="s">
        <v>578</v>
      </c>
      <c r="K3" s="4" t="s">
        <v>579</v>
      </c>
      <c r="L3" s="4" t="s">
        <v>39</v>
      </c>
      <c r="M3" s="4" t="s">
        <v>580</v>
      </c>
      <c r="N3" s="4" t="s">
        <v>581</v>
      </c>
    </row>
    <row r="4" spans="1:14" ht="42">
      <c r="A4" s="1">
        <v>3</v>
      </c>
      <c r="B4" s="4" t="s">
        <v>582</v>
      </c>
      <c r="C4" s="4" t="s">
        <v>583</v>
      </c>
      <c r="D4" s="4" t="s">
        <v>42</v>
      </c>
      <c r="E4" s="1" t="s">
        <v>43</v>
      </c>
      <c r="F4" s="4" t="s">
        <v>584</v>
      </c>
      <c r="G4" s="4" t="s">
        <v>585</v>
      </c>
      <c r="H4" s="4" t="s">
        <v>586</v>
      </c>
      <c r="I4" s="4" t="s">
        <v>567</v>
      </c>
      <c r="J4" s="4" t="s">
        <v>587</v>
      </c>
      <c r="K4" s="4" t="s">
        <v>588</v>
      </c>
      <c r="L4" s="4" t="s">
        <v>44</v>
      </c>
      <c r="M4" s="4" t="s">
        <v>589</v>
      </c>
      <c r="N4" s="4" t="s">
        <v>590</v>
      </c>
    </row>
    <row r="5" spans="1:14" ht="63">
      <c r="A5" s="1">
        <v>4</v>
      </c>
      <c r="B5" s="4" t="s">
        <v>591</v>
      </c>
      <c r="C5" s="4" t="s">
        <v>592</v>
      </c>
      <c r="D5" s="4" t="s">
        <v>47</v>
      </c>
      <c r="E5" s="1" t="s">
        <v>48</v>
      </c>
      <c r="F5" s="4" t="s">
        <v>593</v>
      </c>
      <c r="G5" s="4" t="s">
        <v>594</v>
      </c>
      <c r="H5" s="4" t="s">
        <v>595</v>
      </c>
      <c r="I5" s="4" t="s">
        <v>567</v>
      </c>
      <c r="J5" s="4" t="s">
        <v>596</v>
      </c>
      <c r="K5" s="4" t="s">
        <v>597</v>
      </c>
      <c r="L5" s="4" t="s">
        <v>39</v>
      </c>
      <c r="M5" s="4" t="s">
        <v>598</v>
      </c>
      <c r="N5" s="4" t="s">
        <v>599</v>
      </c>
    </row>
    <row r="6" spans="1:14" ht="63">
      <c r="A6" s="1">
        <v>5</v>
      </c>
      <c r="B6" s="4" t="s">
        <v>600</v>
      </c>
      <c r="C6" s="4" t="s">
        <v>601</v>
      </c>
      <c r="D6" s="4" t="s">
        <v>51</v>
      </c>
      <c r="E6" s="1" t="s">
        <v>52</v>
      </c>
      <c r="F6" s="4" t="s">
        <v>602</v>
      </c>
      <c r="G6" s="4" t="s">
        <v>603</v>
      </c>
      <c r="H6" s="4" t="s">
        <v>604</v>
      </c>
      <c r="I6" s="4" t="s">
        <v>605</v>
      </c>
      <c r="J6" s="4" t="s">
        <v>606</v>
      </c>
      <c r="K6" s="4" t="s">
        <v>607</v>
      </c>
      <c r="L6" s="4" t="s">
        <v>53</v>
      </c>
      <c r="M6" s="4" t="s">
        <v>608</v>
      </c>
      <c r="N6" s="4" t="s">
        <v>609</v>
      </c>
    </row>
    <row r="7" spans="1:14" ht="42">
      <c r="A7" s="1">
        <v>6</v>
      </c>
      <c r="B7" s="4" t="s">
        <v>610</v>
      </c>
      <c r="C7" s="4" t="s">
        <v>611</v>
      </c>
      <c r="D7" s="4" t="s">
        <v>56</v>
      </c>
      <c r="E7" s="1" t="s">
        <v>57</v>
      </c>
      <c r="F7" s="4" t="s">
        <v>612</v>
      </c>
      <c r="G7" s="4" t="s">
        <v>613</v>
      </c>
      <c r="H7" s="4" t="s">
        <v>614</v>
      </c>
      <c r="I7" s="4" t="s">
        <v>567</v>
      </c>
      <c r="J7" s="4" t="s">
        <v>615</v>
      </c>
      <c r="K7" s="4" t="s">
        <v>616</v>
      </c>
      <c r="L7" s="4" t="s">
        <v>39</v>
      </c>
      <c r="M7" s="4" t="s">
        <v>617</v>
      </c>
      <c r="N7" s="4" t="s">
        <v>618</v>
      </c>
    </row>
    <row r="8" spans="1:14" ht="84">
      <c r="A8" s="1">
        <v>7</v>
      </c>
      <c r="B8" s="4" t="s">
        <v>619</v>
      </c>
      <c r="C8" s="4" t="s">
        <v>620</v>
      </c>
      <c r="D8" s="4" t="s">
        <v>60</v>
      </c>
      <c r="E8" s="1" t="s">
        <v>61</v>
      </c>
      <c r="F8" s="4" t="s">
        <v>621</v>
      </c>
      <c r="G8" s="4" t="s">
        <v>622</v>
      </c>
      <c r="H8" s="4" t="s">
        <v>623</v>
      </c>
      <c r="I8" s="4" t="s">
        <v>567</v>
      </c>
      <c r="J8" s="4" t="s">
        <v>624</v>
      </c>
      <c r="K8" s="4" t="s">
        <v>625</v>
      </c>
      <c r="L8" s="4" t="s">
        <v>62</v>
      </c>
      <c r="M8" s="4" t="s">
        <v>626</v>
      </c>
      <c r="N8" s="4" t="s">
        <v>627</v>
      </c>
    </row>
    <row r="9" spans="1:14" ht="63">
      <c r="A9" s="1">
        <v>8</v>
      </c>
      <c r="B9" s="4" t="s">
        <v>628</v>
      </c>
      <c r="C9" s="4" t="s">
        <v>629</v>
      </c>
      <c r="D9" s="4" t="s">
        <v>65</v>
      </c>
      <c r="E9" s="1" t="s">
        <v>66</v>
      </c>
      <c r="F9" s="4" t="s">
        <v>630</v>
      </c>
      <c r="G9" s="4" t="s">
        <v>631</v>
      </c>
      <c r="H9" s="4" t="s">
        <v>632</v>
      </c>
      <c r="I9" s="4" t="s">
        <v>567</v>
      </c>
      <c r="J9" s="4" t="s">
        <v>633</v>
      </c>
      <c r="K9" s="4" t="s">
        <v>634</v>
      </c>
      <c r="L9" s="4" t="s">
        <v>44</v>
      </c>
      <c r="M9" s="4" t="s">
        <v>635</v>
      </c>
      <c r="N9" s="4" t="s">
        <v>636</v>
      </c>
    </row>
    <row r="10" spans="1:14" ht="84">
      <c r="A10" s="1">
        <v>9</v>
      </c>
      <c r="B10" s="4" t="s">
        <v>637</v>
      </c>
      <c r="C10" s="4" t="s">
        <v>638</v>
      </c>
      <c r="D10" s="4" t="s">
        <v>69</v>
      </c>
      <c r="E10" s="1" t="s">
        <v>70</v>
      </c>
      <c r="F10" s="4" t="s">
        <v>639</v>
      </c>
      <c r="G10" s="4" t="s">
        <v>640</v>
      </c>
      <c r="H10" s="4" t="s">
        <v>641</v>
      </c>
      <c r="I10" s="4" t="s">
        <v>642</v>
      </c>
      <c r="J10" s="4" t="s">
        <v>643</v>
      </c>
      <c r="K10" s="4" t="s">
        <v>644</v>
      </c>
      <c r="L10" s="4" t="s">
        <v>44</v>
      </c>
      <c r="M10" s="4" t="s">
        <v>645</v>
      </c>
      <c r="N10" s="4" t="s">
        <v>646</v>
      </c>
    </row>
    <row r="11" spans="1:14" ht="63">
      <c r="A11" s="1">
        <v>10</v>
      </c>
      <c r="B11" s="4" t="s">
        <v>647</v>
      </c>
      <c r="C11" s="4" t="s">
        <v>638</v>
      </c>
      <c r="D11" s="4" t="s">
        <v>73</v>
      </c>
      <c r="E11" s="1" t="s">
        <v>74</v>
      </c>
      <c r="F11" s="4" t="s">
        <v>648</v>
      </c>
      <c r="G11" s="4" t="s">
        <v>649</v>
      </c>
      <c r="H11" s="4" t="s">
        <v>650</v>
      </c>
      <c r="I11" s="4" t="s">
        <v>567</v>
      </c>
      <c r="J11" s="4" t="s">
        <v>643</v>
      </c>
      <c r="K11" s="4" t="s">
        <v>651</v>
      </c>
      <c r="L11" s="4" t="s">
        <v>44</v>
      </c>
      <c r="M11" s="4" t="s">
        <v>645</v>
      </c>
      <c r="N11" s="4" t="s">
        <v>652</v>
      </c>
    </row>
    <row r="12" spans="1:14" ht="63">
      <c r="A12" s="1">
        <v>11</v>
      </c>
      <c r="B12" s="4" t="s">
        <v>653</v>
      </c>
      <c r="C12" s="4" t="s">
        <v>654</v>
      </c>
      <c r="D12" s="4" t="s">
        <v>77</v>
      </c>
      <c r="E12" s="1" t="s">
        <v>78</v>
      </c>
      <c r="F12" s="4" t="s">
        <v>655</v>
      </c>
      <c r="G12" s="4" t="s">
        <v>656</v>
      </c>
      <c r="H12" s="4" t="s">
        <v>657</v>
      </c>
      <c r="I12" s="4" t="s">
        <v>567</v>
      </c>
      <c r="J12" s="4" t="s">
        <v>658</v>
      </c>
      <c r="K12" s="4" t="s">
        <v>659</v>
      </c>
      <c r="L12" s="4" t="s">
        <v>79</v>
      </c>
      <c r="M12" s="4" t="s">
        <v>660</v>
      </c>
      <c r="N12" s="4" t="s">
        <v>661</v>
      </c>
    </row>
    <row r="13" spans="1:14" ht="42">
      <c r="A13" s="1">
        <v>12</v>
      </c>
      <c r="B13" s="4" t="s">
        <v>662</v>
      </c>
      <c r="C13" s="4" t="s">
        <v>663</v>
      </c>
      <c r="D13" s="4" t="s">
        <v>82</v>
      </c>
      <c r="E13" s="1" t="s">
        <v>83</v>
      </c>
      <c r="F13" s="4" t="s">
        <v>664</v>
      </c>
      <c r="G13" s="4" t="s">
        <v>665</v>
      </c>
      <c r="H13" s="4" t="s">
        <v>666</v>
      </c>
      <c r="I13" s="4" t="s">
        <v>605</v>
      </c>
      <c r="J13" s="4" t="s">
        <v>667</v>
      </c>
      <c r="K13" s="4" t="s">
        <v>668</v>
      </c>
      <c r="L13" s="4" t="s">
        <v>84</v>
      </c>
      <c r="M13" s="4" t="s">
        <v>669</v>
      </c>
      <c r="N13" s="4" t="s">
        <v>670</v>
      </c>
    </row>
    <row r="14" spans="1:14" ht="63">
      <c r="A14" s="1">
        <v>13</v>
      </c>
      <c r="B14" s="4" t="s">
        <v>671</v>
      </c>
      <c r="C14" s="4" t="s">
        <v>672</v>
      </c>
      <c r="D14" s="4" t="s">
        <v>87</v>
      </c>
      <c r="E14" s="1" t="s">
        <v>88</v>
      </c>
      <c r="F14" s="4" t="s">
        <v>673</v>
      </c>
      <c r="G14" s="4" t="s">
        <v>674</v>
      </c>
      <c r="H14" s="4" t="s">
        <v>675</v>
      </c>
      <c r="I14" s="4" t="s">
        <v>605</v>
      </c>
      <c r="J14" s="4" t="s">
        <v>676</v>
      </c>
      <c r="K14" s="4" t="s">
        <v>677</v>
      </c>
      <c r="L14" s="4" t="s">
        <v>89</v>
      </c>
      <c r="M14" s="4" t="s">
        <v>678</v>
      </c>
      <c r="N14" s="4" t="s">
        <v>679</v>
      </c>
    </row>
    <row r="15" spans="1:14" ht="63">
      <c r="A15" s="1">
        <v>14</v>
      </c>
      <c r="B15" s="4" t="s">
        <v>680</v>
      </c>
      <c r="C15" s="4" t="s">
        <v>681</v>
      </c>
      <c r="D15" s="4" t="s">
        <v>92</v>
      </c>
      <c r="E15" s="1" t="s">
        <v>93</v>
      </c>
      <c r="F15" s="4" t="s">
        <v>682</v>
      </c>
      <c r="G15" s="4" t="s">
        <v>683</v>
      </c>
      <c r="H15" s="4" t="s">
        <v>684</v>
      </c>
      <c r="I15" s="4" t="s">
        <v>567</v>
      </c>
      <c r="J15" s="4" t="s">
        <v>685</v>
      </c>
      <c r="K15" s="4" t="s">
        <v>686</v>
      </c>
      <c r="L15" s="4" t="s">
        <v>94</v>
      </c>
      <c r="M15" s="4" t="s">
        <v>687</v>
      </c>
      <c r="N15" s="4" t="s">
        <v>688</v>
      </c>
    </row>
    <row r="16" spans="1:14" ht="63">
      <c r="A16" s="1">
        <v>15</v>
      </c>
      <c r="B16" s="4" t="s">
        <v>689</v>
      </c>
      <c r="C16" s="4" t="s">
        <v>681</v>
      </c>
      <c r="D16" s="4" t="s">
        <v>97</v>
      </c>
      <c r="E16" s="1" t="s">
        <v>98</v>
      </c>
      <c r="F16" s="4" t="s">
        <v>690</v>
      </c>
      <c r="G16" s="4" t="s">
        <v>691</v>
      </c>
      <c r="H16" s="4" t="s">
        <v>692</v>
      </c>
      <c r="I16" s="4" t="s">
        <v>693</v>
      </c>
      <c r="J16" s="4" t="s">
        <v>694</v>
      </c>
      <c r="K16" s="4" t="s">
        <v>695</v>
      </c>
      <c r="L16" s="4" t="s">
        <v>94</v>
      </c>
      <c r="M16" s="4" t="s">
        <v>696</v>
      </c>
      <c r="N16" s="4" t="s">
        <v>697</v>
      </c>
    </row>
    <row r="17" spans="1:14" ht="42">
      <c r="A17" s="1">
        <v>16</v>
      </c>
      <c r="B17" s="4" t="s">
        <v>698</v>
      </c>
      <c r="C17" s="4" t="s">
        <v>699</v>
      </c>
      <c r="D17" s="4" t="s">
        <v>101</v>
      </c>
      <c r="E17" s="1" t="s">
        <v>102</v>
      </c>
      <c r="F17" s="4" t="s">
        <v>700</v>
      </c>
      <c r="G17" s="4" t="s">
        <v>701</v>
      </c>
      <c r="H17" s="4" t="s">
        <v>702</v>
      </c>
      <c r="I17" s="4" t="s">
        <v>703</v>
      </c>
      <c r="J17" s="4" t="s">
        <v>346</v>
      </c>
      <c r="K17" s="4" t="s">
        <v>704</v>
      </c>
      <c r="L17" s="4" t="s">
        <v>103</v>
      </c>
      <c r="M17" s="4" t="s">
        <v>705</v>
      </c>
      <c r="N17" s="4" t="s">
        <v>706</v>
      </c>
    </row>
    <row r="18" spans="1:14" ht="84">
      <c r="A18" s="1">
        <v>17</v>
      </c>
      <c r="B18" s="4" t="s">
        <v>707</v>
      </c>
      <c r="C18" s="4" t="s">
        <v>708</v>
      </c>
      <c r="D18" s="4" t="s">
        <v>106</v>
      </c>
      <c r="E18" s="1" t="s">
        <v>107</v>
      </c>
      <c r="F18" s="4" t="s">
        <v>709</v>
      </c>
      <c r="G18" s="4" t="s">
        <v>710</v>
      </c>
      <c r="H18" s="4" t="s">
        <v>666</v>
      </c>
      <c r="I18" s="4" t="s">
        <v>567</v>
      </c>
      <c r="J18" s="4" t="s">
        <v>606</v>
      </c>
      <c r="K18" s="4" t="s">
        <v>711</v>
      </c>
      <c r="L18" s="4" t="s">
        <v>108</v>
      </c>
      <c r="M18" s="4" t="s">
        <v>712</v>
      </c>
      <c r="N18" s="4" t="s">
        <v>713</v>
      </c>
    </row>
    <row r="19" spans="1:14" ht="63">
      <c r="A19" s="1">
        <v>18</v>
      </c>
      <c r="B19" s="4" t="s">
        <v>714</v>
      </c>
      <c r="C19" s="4" t="s">
        <v>708</v>
      </c>
      <c r="D19" s="4" t="s">
        <v>111</v>
      </c>
      <c r="E19" s="1" t="s">
        <v>112</v>
      </c>
      <c r="F19" s="4" t="s">
        <v>715</v>
      </c>
      <c r="G19" s="4" t="s">
        <v>716</v>
      </c>
      <c r="H19" s="4" t="s">
        <v>717</v>
      </c>
      <c r="I19" s="4" t="s">
        <v>693</v>
      </c>
      <c r="J19" s="4" t="s">
        <v>694</v>
      </c>
      <c r="K19" s="4" t="s">
        <v>718</v>
      </c>
      <c r="L19" s="4" t="s">
        <v>108</v>
      </c>
      <c r="M19" s="4" t="s">
        <v>719</v>
      </c>
      <c r="N19" s="4" t="s">
        <v>720</v>
      </c>
    </row>
    <row r="20" spans="1:14" ht="63">
      <c r="A20" s="1">
        <v>19</v>
      </c>
      <c r="B20" s="4" t="s">
        <v>721</v>
      </c>
      <c r="C20" s="4" t="s">
        <v>722</v>
      </c>
      <c r="D20" s="4" t="s">
        <v>115</v>
      </c>
      <c r="E20" s="1" t="s">
        <v>116</v>
      </c>
      <c r="F20" s="4" t="s">
        <v>723</v>
      </c>
      <c r="G20" s="4" t="s">
        <v>724</v>
      </c>
      <c r="H20" s="4" t="s">
        <v>725</v>
      </c>
      <c r="I20" s="4" t="s">
        <v>605</v>
      </c>
      <c r="J20" s="4" t="s">
        <v>726</v>
      </c>
      <c r="K20" s="4" t="s">
        <v>727</v>
      </c>
      <c r="L20" s="4" t="s">
        <v>117</v>
      </c>
      <c r="M20" s="4" t="s">
        <v>728</v>
      </c>
      <c r="N20" s="4" t="s">
        <v>729</v>
      </c>
    </row>
    <row r="21" spans="1:14" ht="105">
      <c r="A21" s="1">
        <v>20</v>
      </c>
      <c r="B21" s="4" t="s">
        <v>647</v>
      </c>
      <c r="C21" s="4" t="s">
        <v>663</v>
      </c>
      <c r="D21" s="4" t="s">
        <v>120</v>
      </c>
      <c r="E21" s="1" t="s">
        <v>121</v>
      </c>
      <c r="F21" s="4" t="s">
        <v>730</v>
      </c>
      <c r="G21" s="4" t="s">
        <v>731</v>
      </c>
      <c r="H21" s="4" t="s">
        <v>732</v>
      </c>
      <c r="I21" s="4" t="s">
        <v>733</v>
      </c>
      <c r="J21" s="4" t="s">
        <v>734</v>
      </c>
      <c r="K21" s="4" t="s">
        <v>735</v>
      </c>
      <c r="L21" s="4" t="s">
        <v>122</v>
      </c>
      <c r="M21" s="4" t="s">
        <v>736</v>
      </c>
      <c r="N21" s="4" t="s">
        <v>737</v>
      </c>
    </row>
    <row r="22" spans="1:14" ht="42">
      <c r="A22" s="1">
        <v>21</v>
      </c>
      <c r="B22" s="4" t="s">
        <v>647</v>
      </c>
      <c r="C22" s="4" t="s">
        <v>663</v>
      </c>
      <c r="D22" s="4" t="s">
        <v>123</v>
      </c>
      <c r="E22" s="1" t="s">
        <v>124</v>
      </c>
      <c r="F22" s="4" t="s">
        <v>738</v>
      </c>
      <c r="G22" s="4" t="s">
        <v>739</v>
      </c>
      <c r="H22" s="4" t="s">
        <v>740</v>
      </c>
      <c r="I22" s="4" t="s">
        <v>733</v>
      </c>
      <c r="J22" s="4" t="s">
        <v>741</v>
      </c>
      <c r="K22" s="4" t="s">
        <v>742</v>
      </c>
      <c r="L22" s="4" t="s">
        <v>44</v>
      </c>
      <c r="M22" s="4" t="s">
        <v>743</v>
      </c>
      <c r="N22" s="4" t="s">
        <v>744</v>
      </c>
    </row>
    <row r="23" spans="1:14" ht="63">
      <c r="A23" s="1">
        <v>22</v>
      </c>
      <c r="B23" s="4" t="s">
        <v>745</v>
      </c>
      <c r="C23" s="4" t="s">
        <v>746</v>
      </c>
      <c r="D23" s="4" t="s">
        <v>125</v>
      </c>
      <c r="E23" s="1" t="s">
        <v>126</v>
      </c>
      <c r="F23" s="4" t="s">
        <v>747</v>
      </c>
      <c r="G23" s="4" t="s">
        <v>748</v>
      </c>
      <c r="H23" s="4" t="s">
        <v>641</v>
      </c>
      <c r="I23" s="4" t="s">
        <v>567</v>
      </c>
      <c r="J23" s="4" t="s">
        <v>749</v>
      </c>
      <c r="K23" s="4" t="s">
        <v>750</v>
      </c>
      <c r="L23" s="4" t="s">
        <v>39</v>
      </c>
      <c r="M23" s="4" t="s">
        <v>751</v>
      </c>
      <c r="N23" s="4" t="s">
        <v>752</v>
      </c>
    </row>
    <row r="24" spans="1:14" ht="42">
      <c r="A24" s="1">
        <v>23</v>
      </c>
      <c r="B24" s="4" t="s">
        <v>753</v>
      </c>
      <c r="C24" s="4" t="s">
        <v>754</v>
      </c>
      <c r="D24" s="4" t="s">
        <v>127</v>
      </c>
      <c r="E24" s="1" t="s">
        <v>128</v>
      </c>
      <c r="F24" s="4" t="s">
        <v>755</v>
      </c>
      <c r="G24" s="4" t="s">
        <v>649</v>
      </c>
      <c r="H24" s="4" t="s">
        <v>756</v>
      </c>
      <c r="I24" s="4" t="s">
        <v>567</v>
      </c>
      <c r="J24" s="4" t="s">
        <v>757</v>
      </c>
      <c r="K24" s="4" t="s">
        <v>758</v>
      </c>
      <c r="L24" s="4" t="s">
        <v>39</v>
      </c>
      <c r="M24" s="4" t="s">
        <v>759</v>
      </c>
      <c r="N24" s="4" t="s">
        <v>760</v>
      </c>
    </row>
    <row r="25" spans="1:14" ht="84">
      <c r="A25" s="1">
        <v>24</v>
      </c>
      <c r="B25" s="4" t="s">
        <v>761</v>
      </c>
      <c r="C25" s="4" t="s">
        <v>762</v>
      </c>
      <c r="D25" s="4" t="s">
        <v>129</v>
      </c>
      <c r="E25" s="1" t="s">
        <v>130</v>
      </c>
      <c r="F25" s="4" t="s">
        <v>763</v>
      </c>
      <c r="G25" s="4" t="s">
        <v>764</v>
      </c>
      <c r="H25" s="4" t="s">
        <v>765</v>
      </c>
      <c r="I25" s="4" t="s">
        <v>733</v>
      </c>
      <c r="J25" s="4" t="s">
        <v>346</v>
      </c>
      <c r="K25" s="4" t="s">
        <v>766</v>
      </c>
      <c r="L25" s="4" t="s">
        <v>39</v>
      </c>
      <c r="M25" s="4" t="s">
        <v>767</v>
      </c>
      <c r="N25" s="4" t="s">
        <v>768</v>
      </c>
    </row>
    <row r="26" spans="1:14" ht="42">
      <c r="A26" s="1">
        <v>25</v>
      </c>
      <c r="B26" s="4" t="s">
        <v>769</v>
      </c>
      <c r="C26" s="4" t="s">
        <v>770</v>
      </c>
      <c r="D26" s="4" t="s">
        <v>131</v>
      </c>
      <c r="E26" s="1" t="s">
        <v>132</v>
      </c>
      <c r="F26" s="4" t="s">
        <v>771</v>
      </c>
      <c r="G26" s="4" t="s">
        <v>772</v>
      </c>
      <c r="H26" s="4" t="s">
        <v>773</v>
      </c>
      <c r="I26" s="4" t="s">
        <v>774</v>
      </c>
      <c r="J26" s="4" t="s">
        <v>775</v>
      </c>
      <c r="K26" s="4" t="s">
        <v>776</v>
      </c>
      <c r="L26" s="4" t="s">
        <v>133</v>
      </c>
      <c r="M26" s="4" t="s">
        <v>777</v>
      </c>
      <c r="N26" s="4" t="s">
        <v>778</v>
      </c>
    </row>
    <row r="27" spans="1:14" ht="84">
      <c r="A27" s="1">
        <v>26</v>
      </c>
      <c r="B27" s="4" t="s">
        <v>779</v>
      </c>
      <c r="C27" s="4" t="s">
        <v>780</v>
      </c>
      <c r="D27" s="4" t="s">
        <v>134</v>
      </c>
      <c r="E27" s="1" t="s">
        <v>135</v>
      </c>
      <c r="F27" s="4" t="s">
        <v>781</v>
      </c>
      <c r="G27" s="4" t="s">
        <v>782</v>
      </c>
      <c r="H27" s="4" t="s">
        <v>756</v>
      </c>
      <c r="I27" s="4" t="s">
        <v>567</v>
      </c>
      <c r="J27" s="4" t="s">
        <v>783</v>
      </c>
      <c r="K27" s="4" t="s">
        <v>784</v>
      </c>
      <c r="L27" s="4" t="s">
        <v>39</v>
      </c>
      <c r="M27" s="4" t="s">
        <v>785</v>
      </c>
      <c r="N27" s="4" t="s">
        <v>786</v>
      </c>
    </row>
    <row r="28" spans="1:14" ht="105">
      <c r="A28" s="1">
        <v>27</v>
      </c>
      <c r="B28" s="4" t="s">
        <v>787</v>
      </c>
      <c r="C28" s="4" t="s">
        <v>788</v>
      </c>
      <c r="D28" s="4" t="s">
        <v>136</v>
      </c>
      <c r="E28" s="1" t="s">
        <v>137</v>
      </c>
      <c r="F28" s="4" t="s">
        <v>789</v>
      </c>
      <c r="G28" s="4" t="s">
        <v>790</v>
      </c>
      <c r="H28" s="4" t="s">
        <v>791</v>
      </c>
      <c r="I28" s="4" t="s">
        <v>605</v>
      </c>
      <c r="J28" s="4" t="s">
        <v>694</v>
      </c>
      <c r="K28" s="4" t="s">
        <v>792</v>
      </c>
      <c r="L28" s="4" t="s">
        <v>39</v>
      </c>
      <c r="M28" s="4" t="s">
        <v>793</v>
      </c>
      <c r="N28" s="4" t="s">
        <v>794</v>
      </c>
    </row>
    <row r="29" spans="1:14" ht="84">
      <c r="A29" s="1">
        <v>28</v>
      </c>
      <c r="B29" s="4" t="s">
        <v>795</v>
      </c>
      <c r="C29" s="4" t="s">
        <v>796</v>
      </c>
      <c r="D29" s="4" t="s">
        <v>138</v>
      </c>
      <c r="E29" s="1" t="s">
        <v>139</v>
      </c>
      <c r="F29" s="4" t="s">
        <v>797</v>
      </c>
      <c r="G29" s="4" t="s">
        <v>798</v>
      </c>
      <c r="H29" s="4" t="s">
        <v>799</v>
      </c>
      <c r="I29" s="4" t="s">
        <v>567</v>
      </c>
      <c r="J29" s="4" t="s">
        <v>346</v>
      </c>
      <c r="K29" s="4" t="s">
        <v>800</v>
      </c>
      <c r="L29" s="4" t="s">
        <v>62</v>
      </c>
      <c r="M29" s="4" t="s">
        <v>801</v>
      </c>
      <c r="N29" s="4" t="s">
        <v>802</v>
      </c>
    </row>
    <row r="30" spans="1:14" ht="105">
      <c r="A30" s="1">
        <v>29</v>
      </c>
      <c r="B30" s="4" t="s">
        <v>600</v>
      </c>
      <c r="C30" s="4" t="s">
        <v>663</v>
      </c>
      <c r="D30" s="4" t="s">
        <v>140</v>
      </c>
      <c r="E30" s="1" t="s">
        <v>141</v>
      </c>
      <c r="F30" s="4" t="s">
        <v>803</v>
      </c>
      <c r="G30" s="4" t="s">
        <v>804</v>
      </c>
      <c r="H30" s="4" t="s">
        <v>805</v>
      </c>
      <c r="I30" s="4" t="s">
        <v>567</v>
      </c>
      <c r="J30" s="4" t="s">
        <v>346</v>
      </c>
      <c r="K30" s="4" t="s">
        <v>806</v>
      </c>
      <c r="L30" s="4" t="s">
        <v>39</v>
      </c>
      <c r="M30" s="4" t="s">
        <v>807</v>
      </c>
      <c r="N30" s="4" t="s">
        <v>808</v>
      </c>
    </row>
    <row r="31" spans="1:14">
      <c r="A31" s="1">
        <v>30</v>
      </c>
      <c r="B31" s="1" t="s">
        <v>809</v>
      </c>
      <c r="C31" s="1" t="s">
        <v>346</v>
      </c>
      <c r="D31" s="1" t="s">
        <v>142</v>
      </c>
      <c r="E31" s="1" t="s">
        <v>137</v>
      </c>
      <c r="F31" s="1" t="s">
        <v>810</v>
      </c>
      <c r="G31" s="1" t="s">
        <v>346</v>
      </c>
      <c r="H31" s="1" t="s">
        <v>346</v>
      </c>
      <c r="I31" s="1" t="s">
        <v>346</v>
      </c>
      <c r="J31" s="1" t="s">
        <v>346</v>
      </c>
      <c r="K31" s="1" t="s">
        <v>811</v>
      </c>
      <c r="L31" s="1" t="s">
        <v>143</v>
      </c>
      <c r="M31" s="1" t="s">
        <v>346</v>
      </c>
    </row>
    <row r="32" spans="1:14">
      <c r="A32" s="1">
        <v>31</v>
      </c>
      <c r="B32" s="1" t="s">
        <v>809</v>
      </c>
      <c r="C32" s="1" t="s">
        <v>812</v>
      </c>
      <c r="D32" s="1" t="s">
        <v>144</v>
      </c>
      <c r="E32" s="1" t="s">
        <v>145</v>
      </c>
      <c r="F32" s="1" t="s">
        <v>813</v>
      </c>
      <c r="G32" s="1" t="s">
        <v>346</v>
      </c>
      <c r="H32" s="1" t="s">
        <v>346</v>
      </c>
      <c r="I32" s="1" t="s">
        <v>346</v>
      </c>
      <c r="J32" s="1" t="s">
        <v>346</v>
      </c>
      <c r="K32" s="1" t="s">
        <v>811</v>
      </c>
      <c r="L32" s="1" t="s">
        <v>143</v>
      </c>
      <c r="M32" s="1" t="s">
        <v>346</v>
      </c>
    </row>
    <row r="33" spans="1:13">
      <c r="A33" s="1">
        <v>32</v>
      </c>
      <c r="B33" s="1" t="s">
        <v>814</v>
      </c>
      <c r="C33" s="1" t="s">
        <v>346</v>
      </c>
      <c r="D33" s="1" t="s">
        <v>146</v>
      </c>
      <c r="E33" s="1" t="s">
        <v>147</v>
      </c>
      <c r="F33" s="1" t="s">
        <v>815</v>
      </c>
      <c r="G33" s="1" t="s">
        <v>346</v>
      </c>
      <c r="H33" s="1" t="s">
        <v>346</v>
      </c>
      <c r="I33" s="1" t="s">
        <v>346</v>
      </c>
      <c r="J33" s="1" t="s">
        <v>346</v>
      </c>
      <c r="K33" s="1" t="s">
        <v>811</v>
      </c>
      <c r="L33" s="1" t="s">
        <v>148</v>
      </c>
      <c r="M33" s="1" t="s">
        <v>346</v>
      </c>
    </row>
    <row r="34" spans="1:13">
      <c r="A34" s="1">
        <v>33</v>
      </c>
      <c r="B34" s="1" t="s">
        <v>814</v>
      </c>
      <c r="C34" s="1" t="s">
        <v>346</v>
      </c>
      <c r="D34" s="1" t="s">
        <v>149</v>
      </c>
      <c r="E34" s="1" t="s">
        <v>150</v>
      </c>
      <c r="F34" s="1" t="s">
        <v>816</v>
      </c>
      <c r="G34" s="1" t="s">
        <v>346</v>
      </c>
      <c r="H34" s="1" t="s">
        <v>346</v>
      </c>
      <c r="I34" s="1" t="s">
        <v>346</v>
      </c>
      <c r="J34" s="1" t="s">
        <v>346</v>
      </c>
      <c r="K34" s="1" t="s">
        <v>811</v>
      </c>
      <c r="L34" s="1" t="s">
        <v>143</v>
      </c>
      <c r="M34" s="1" t="s">
        <v>346</v>
      </c>
    </row>
    <row r="35" spans="1:13">
      <c r="A35" s="1">
        <v>34</v>
      </c>
      <c r="B35" s="1" t="s">
        <v>809</v>
      </c>
      <c r="C35" s="1" t="s">
        <v>346</v>
      </c>
      <c r="D35" s="1" t="s">
        <v>151</v>
      </c>
      <c r="E35" s="1" t="s">
        <v>121</v>
      </c>
      <c r="F35" s="1" t="s">
        <v>817</v>
      </c>
      <c r="G35" s="1" t="s">
        <v>346</v>
      </c>
      <c r="H35" s="1" t="s">
        <v>346</v>
      </c>
      <c r="I35" s="1" t="s">
        <v>346</v>
      </c>
      <c r="J35" s="1" t="s">
        <v>346</v>
      </c>
      <c r="K35" s="1" t="s">
        <v>811</v>
      </c>
      <c r="L35" s="1" t="s">
        <v>152</v>
      </c>
      <c r="M35" s="1" t="s">
        <v>346</v>
      </c>
    </row>
    <row r="36" spans="1:13">
      <c r="A36" s="1">
        <v>35</v>
      </c>
      <c r="B36" s="1" t="s">
        <v>814</v>
      </c>
      <c r="C36" s="1" t="s">
        <v>346</v>
      </c>
      <c r="D36" s="1" t="s">
        <v>153</v>
      </c>
      <c r="E36" s="1" t="s">
        <v>154</v>
      </c>
      <c r="F36" s="1" t="s">
        <v>818</v>
      </c>
      <c r="G36" s="1" t="s">
        <v>346</v>
      </c>
      <c r="H36" s="1" t="s">
        <v>346</v>
      </c>
      <c r="I36" s="1" t="s">
        <v>346</v>
      </c>
      <c r="J36" s="1" t="s">
        <v>346</v>
      </c>
      <c r="K36" s="1" t="s">
        <v>811</v>
      </c>
      <c r="L36" s="1" t="s">
        <v>143</v>
      </c>
      <c r="M36" s="1" t="s">
        <v>346</v>
      </c>
    </row>
    <row r="37" spans="1:13">
      <c r="A37" s="1">
        <v>36</v>
      </c>
      <c r="B37" s="1" t="s">
        <v>809</v>
      </c>
      <c r="C37" s="1" t="s">
        <v>346</v>
      </c>
      <c r="D37" s="1" t="s">
        <v>155</v>
      </c>
      <c r="E37" s="1" t="s">
        <v>156</v>
      </c>
      <c r="F37" s="1" t="s">
        <v>819</v>
      </c>
      <c r="G37" s="1" t="s">
        <v>346</v>
      </c>
      <c r="H37" s="1" t="s">
        <v>346</v>
      </c>
      <c r="I37" s="1" t="s">
        <v>346</v>
      </c>
      <c r="J37" s="1" t="s">
        <v>346</v>
      </c>
      <c r="K37" s="1" t="s">
        <v>811</v>
      </c>
      <c r="L37" s="1" t="s">
        <v>143</v>
      </c>
      <c r="M37" s="1" t="s">
        <v>346</v>
      </c>
    </row>
    <row r="38" spans="1:13">
      <c r="A38" s="1">
        <v>37</v>
      </c>
      <c r="B38" s="1" t="s">
        <v>814</v>
      </c>
      <c r="C38" s="1" t="s">
        <v>346</v>
      </c>
      <c r="D38" s="1" t="s">
        <v>157</v>
      </c>
      <c r="E38" s="1" t="s">
        <v>158</v>
      </c>
      <c r="F38" s="1" t="s">
        <v>820</v>
      </c>
      <c r="G38" s="1" t="s">
        <v>346</v>
      </c>
      <c r="H38" s="1" t="s">
        <v>346</v>
      </c>
      <c r="I38" s="1" t="s">
        <v>346</v>
      </c>
      <c r="J38" s="1" t="s">
        <v>346</v>
      </c>
      <c r="K38" s="1" t="s">
        <v>811</v>
      </c>
      <c r="L38" s="1" t="s">
        <v>143</v>
      </c>
      <c r="M38" s="1" t="s">
        <v>346</v>
      </c>
    </row>
    <row r="39" spans="1:13">
      <c r="A39" s="1">
        <v>38</v>
      </c>
      <c r="B39" s="1" t="s">
        <v>814</v>
      </c>
      <c r="C39" s="1" t="s">
        <v>346</v>
      </c>
      <c r="D39" s="1" t="s">
        <v>159</v>
      </c>
      <c r="E39" s="1" t="s">
        <v>160</v>
      </c>
      <c r="F39" s="1" t="s">
        <v>821</v>
      </c>
      <c r="G39" s="1" t="s">
        <v>346</v>
      </c>
      <c r="H39" s="1" t="s">
        <v>346</v>
      </c>
      <c r="I39" s="1" t="s">
        <v>346</v>
      </c>
      <c r="J39" s="1" t="s">
        <v>346</v>
      </c>
      <c r="K39" s="1" t="s">
        <v>811</v>
      </c>
      <c r="L39" s="1" t="s">
        <v>143</v>
      </c>
      <c r="M39" s="1" t="s">
        <v>346</v>
      </c>
    </row>
    <row r="40" spans="1:13">
      <c r="A40" s="1">
        <v>39</v>
      </c>
      <c r="B40" s="1" t="s">
        <v>809</v>
      </c>
      <c r="C40" s="1" t="s">
        <v>346</v>
      </c>
      <c r="D40" s="1" t="s">
        <v>161</v>
      </c>
      <c r="E40" s="1" t="s">
        <v>130</v>
      </c>
      <c r="F40" s="1" t="s">
        <v>822</v>
      </c>
      <c r="G40" s="1" t="s">
        <v>346</v>
      </c>
      <c r="H40" s="1" t="s">
        <v>346</v>
      </c>
      <c r="I40" s="1" t="s">
        <v>346</v>
      </c>
      <c r="J40" s="1" t="s">
        <v>346</v>
      </c>
      <c r="K40" s="1" t="s">
        <v>811</v>
      </c>
      <c r="L40" s="1" t="s">
        <v>143</v>
      </c>
      <c r="M40" s="1" t="s">
        <v>346</v>
      </c>
    </row>
    <row r="41" spans="1:13">
      <c r="A41" s="1">
        <v>40</v>
      </c>
      <c r="B41" s="1" t="s">
        <v>814</v>
      </c>
      <c r="C41" s="1" t="s">
        <v>346</v>
      </c>
      <c r="D41" s="1" t="s">
        <v>162</v>
      </c>
      <c r="E41" s="1" t="s">
        <v>163</v>
      </c>
      <c r="F41" s="1" t="s">
        <v>823</v>
      </c>
      <c r="G41" s="1" t="s">
        <v>346</v>
      </c>
      <c r="H41" s="1" t="s">
        <v>346</v>
      </c>
      <c r="I41" s="1" t="s">
        <v>346</v>
      </c>
      <c r="J41" s="1" t="s">
        <v>346</v>
      </c>
      <c r="K41" s="1" t="s">
        <v>811</v>
      </c>
      <c r="L41" s="1" t="s">
        <v>143</v>
      </c>
      <c r="M41" s="1" t="s">
        <v>346</v>
      </c>
    </row>
    <row r="42" spans="1:13">
      <c r="A42" s="1">
        <v>41</v>
      </c>
      <c r="B42" s="1" t="s">
        <v>814</v>
      </c>
      <c r="C42" s="1" t="s">
        <v>346</v>
      </c>
      <c r="D42" s="1" t="s">
        <v>164</v>
      </c>
      <c r="E42" s="1" t="s">
        <v>165</v>
      </c>
      <c r="F42" s="1" t="s">
        <v>824</v>
      </c>
      <c r="G42" s="1" t="s">
        <v>346</v>
      </c>
      <c r="H42" s="1" t="s">
        <v>346</v>
      </c>
      <c r="I42" s="1" t="s">
        <v>346</v>
      </c>
      <c r="J42" s="1" t="s">
        <v>346</v>
      </c>
      <c r="K42" s="1" t="s">
        <v>811</v>
      </c>
      <c r="L42" s="1" t="s">
        <v>143</v>
      </c>
      <c r="M42" s="1" t="s">
        <v>346</v>
      </c>
    </row>
    <row r="43" spans="1:13">
      <c r="A43" s="1">
        <v>42</v>
      </c>
      <c r="B43" s="1" t="s">
        <v>814</v>
      </c>
      <c r="C43" s="1" t="s">
        <v>346</v>
      </c>
      <c r="D43" s="1" t="s">
        <v>166</v>
      </c>
      <c r="E43" s="1" t="s">
        <v>167</v>
      </c>
      <c r="F43" s="1" t="s">
        <v>825</v>
      </c>
      <c r="G43" s="1" t="s">
        <v>346</v>
      </c>
      <c r="H43" s="1" t="s">
        <v>346</v>
      </c>
      <c r="I43" s="1" t="s">
        <v>346</v>
      </c>
      <c r="J43" s="1" t="s">
        <v>346</v>
      </c>
      <c r="K43" s="1" t="s">
        <v>811</v>
      </c>
      <c r="L43" s="1" t="s">
        <v>143</v>
      </c>
      <c r="M43" s="1" t="s">
        <v>346</v>
      </c>
    </row>
    <row r="44" spans="1:13">
      <c r="A44" s="1">
        <v>43</v>
      </c>
      <c r="B44" s="1" t="s">
        <v>809</v>
      </c>
      <c r="C44" s="1" t="s">
        <v>346</v>
      </c>
      <c r="D44" s="1" t="s">
        <v>168</v>
      </c>
      <c r="E44" s="1" t="s">
        <v>126</v>
      </c>
      <c r="F44" s="1" t="s">
        <v>826</v>
      </c>
      <c r="G44" s="1" t="s">
        <v>346</v>
      </c>
      <c r="H44" s="1" t="s">
        <v>346</v>
      </c>
      <c r="I44" s="1" t="s">
        <v>346</v>
      </c>
      <c r="J44" s="1" t="s">
        <v>346</v>
      </c>
      <c r="K44" s="1" t="s">
        <v>811</v>
      </c>
      <c r="L44" s="1" t="s">
        <v>143</v>
      </c>
      <c r="M44" s="1" t="s">
        <v>346</v>
      </c>
    </row>
    <row r="45" spans="1:13">
      <c r="A45" s="1">
        <v>44</v>
      </c>
      <c r="B45" s="1" t="s">
        <v>809</v>
      </c>
      <c r="C45" s="1" t="s">
        <v>346</v>
      </c>
      <c r="D45" s="1" t="s">
        <v>169</v>
      </c>
      <c r="E45" s="1" t="s">
        <v>128</v>
      </c>
      <c r="F45" s="1" t="s">
        <v>827</v>
      </c>
      <c r="G45" s="1" t="s">
        <v>346</v>
      </c>
      <c r="H45" s="1" t="s">
        <v>346</v>
      </c>
      <c r="I45" s="1" t="s">
        <v>346</v>
      </c>
      <c r="J45" s="1" t="s">
        <v>346</v>
      </c>
      <c r="K45" s="1" t="s">
        <v>811</v>
      </c>
      <c r="L45" s="1" t="s">
        <v>143</v>
      </c>
      <c r="M45" s="1" t="s">
        <v>346</v>
      </c>
    </row>
    <row r="46" spans="1:13">
      <c r="A46" s="1">
        <v>45</v>
      </c>
      <c r="B46" s="1" t="s">
        <v>809</v>
      </c>
      <c r="C46" s="1" t="s">
        <v>828</v>
      </c>
      <c r="D46" s="1" t="s">
        <v>170</v>
      </c>
      <c r="E46" s="1" t="s">
        <v>171</v>
      </c>
      <c r="F46" s="1" t="s">
        <v>829</v>
      </c>
      <c r="G46" s="1" t="s">
        <v>346</v>
      </c>
      <c r="H46" s="1" t="s">
        <v>346</v>
      </c>
      <c r="I46" s="1" t="s">
        <v>346</v>
      </c>
      <c r="J46" s="1" t="s">
        <v>346</v>
      </c>
      <c r="K46" s="1" t="s">
        <v>811</v>
      </c>
      <c r="L46" s="1" t="s">
        <v>44</v>
      </c>
      <c r="M46" s="1" t="s">
        <v>346</v>
      </c>
    </row>
    <row r="47" spans="1:13">
      <c r="A47" s="1">
        <v>46</v>
      </c>
      <c r="B47" s="1" t="s">
        <v>809</v>
      </c>
      <c r="C47" s="1" t="s">
        <v>346</v>
      </c>
      <c r="D47" s="1" t="s">
        <v>172</v>
      </c>
      <c r="E47" s="1" t="s">
        <v>173</v>
      </c>
      <c r="F47" s="1" t="s">
        <v>830</v>
      </c>
      <c r="G47" s="1" t="s">
        <v>346</v>
      </c>
      <c r="H47" s="1" t="s">
        <v>346</v>
      </c>
      <c r="I47" s="1" t="s">
        <v>346</v>
      </c>
      <c r="J47" s="1" t="s">
        <v>346</v>
      </c>
      <c r="K47" s="1" t="s">
        <v>811</v>
      </c>
      <c r="L47" s="1" t="s">
        <v>44</v>
      </c>
      <c r="M47" s="1" t="s">
        <v>346</v>
      </c>
    </row>
    <row r="48" spans="1:13">
      <c r="A48" s="1">
        <v>47</v>
      </c>
      <c r="B48" s="1" t="s">
        <v>809</v>
      </c>
      <c r="C48" s="1" t="s">
        <v>346</v>
      </c>
      <c r="D48" s="1" t="s">
        <v>174</v>
      </c>
      <c r="E48" s="1" t="s">
        <v>175</v>
      </c>
      <c r="F48" s="1" t="s">
        <v>831</v>
      </c>
      <c r="G48" s="1" t="s">
        <v>346</v>
      </c>
      <c r="H48" s="1" t="s">
        <v>346</v>
      </c>
      <c r="I48" s="1" t="s">
        <v>346</v>
      </c>
      <c r="J48" s="1" t="s">
        <v>346</v>
      </c>
      <c r="K48" s="1" t="s">
        <v>811</v>
      </c>
      <c r="L48" s="1" t="s">
        <v>143</v>
      </c>
      <c r="M48" s="1" t="s">
        <v>346</v>
      </c>
    </row>
    <row r="49" spans="1:13">
      <c r="A49" s="1">
        <v>48</v>
      </c>
      <c r="B49" s="1" t="s">
        <v>814</v>
      </c>
      <c r="C49" s="1" t="s">
        <v>346</v>
      </c>
      <c r="D49" s="1" t="s">
        <v>176</v>
      </c>
      <c r="E49" s="1" t="s">
        <v>177</v>
      </c>
      <c r="F49" s="1" t="s">
        <v>832</v>
      </c>
      <c r="G49" s="1" t="s">
        <v>346</v>
      </c>
      <c r="H49" s="1" t="s">
        <v>346</v>
      </c>
      <c r="I49" s="1" t="s">
        <v>346</v>
      </c>
      <c r="J49" s="1" t="s">
        <v>346</v>
      </c>
      <c r="K49" s="1" t="s">
        <v>811</v>
      </c>
      <c r="L49" s="1" t="s">
        <v>143</v>
      </c>
      <c r="M49" s="1" t="s">
        <v>346</v>
      </c>
    </row>
    <row r="50" spans="1:13">
      <c r="A50" s="1">
        <v>49</v>
      </c>
      <c r="B50" s="1" t="s">
        <v>814</v>
      </c>
      <c r="C50" s="1" t="s">
        <v>346</v>
      </c>
      <c r="D50" s="1" t="s">
        <v>178</v>
      </c>
      <c r="E50" s="1" t="s">
        <v>179</v>
      </c>
      <c r="F50" s="1" t="s">
        <v>833</v>
      </c>
      <c r="G50" s="1" t="s">
        <v>346</v>
      </c>
      <c r="H50" s="1" t="s">
        <v>346</v>
      </c>
      <c r="I50" s="1" t="s">
        <v>346</v>
      </c>
      <c r="J50" s="1" t="s">
        <v>346</v>
      </c>
      <c r="K50" s="1" t="s">
        <v>811</v>
      </c>
      <c r="L50" s="1" t="s">
        <v>143</v>
      </c>
      <c r="M50" s="1" t="s">
        <v>346</v>
      </c>
    </row>
    <row r="51" spans="1:13">
      <c r="A51" s="1">
        <v>50</v>
      </c>
      <c r="B51" s="1" t="s">
        <v>769</v>
      </c>
      <c r="C51" s="1" t="s">
        <v>346</v>
      </c>
      <c r="D51" s="1" t="s">
        <v>180</v>
      </c>
      <c r="E51" s="1" t="s">
        <v>181</v>
      </c>
      <c r="F51" s="1" t="s">
        <v>834</v>
      </c>
      <c r="G51" s="1" t="s">
        <v>346</v>
      </c>
      <c r="H51" s="1" t="s">
        <v>346</v>
      </c>
      <c r="I51" s="1" t="s">
        <v>346</v>
      </c>
      <c r="J51" s="1" t="s">
        <v>346</v>
      </c>
      <c r="K51" s="1" t="s">
        <v>811</v>
      </c>
      <c r="L51" s="1" t="s">
        <v>44</v>
      </c>
      <c r="M51" s="1" t="s">
        <v>346</v>
      </c>
    </row>
    <row r="52" spans="1:13">
      <c r="A52" s="1">
        <v>51</v>
      </c>
      <c r="B52" s="1" t="s">
        <v>814</v>
      </c>
      <c r="C52" s="1" t="s">
        <v>346</v>
      </c>
      <c r="D52" s="1" t="s">
        <v>182</v>
      </c>
      <c r="E52" s="1" t="s">
        <v>183</v>
      </c>
      <c r="F52" s="1" t="s">
        <v>835</v>
      </c>
      <c r="G52" s="1" t="s">
        <v>346</v>
      </c>
      <c r="H52" s="1" t="s">
        <v>346</v>
      </c>
      <c r="I52" s="1" t="s">
        <v>346</v>
      </c>
      <c r="J52" s="1" t="s">
        <v>346</v>
      </c>
      <c r="K52" s="1" t="s">
        <v>811</v>
      </c>
      <c r="L52" s="1" t="s">
        <v>44</v>
      </c>
      <c r="M52" s="1" t="s">
        <v>346</v>
      </c>
    </row>
    <row r="53" spans="1:13">
      <c r="A53" s="1">
        <v>52</v>
      </c>
      <c r="B53" s="1" t="s">
        <v>814</v>
      </c>
      <c r="C53" s="1" t="s">
        <v>346</v>
      </c>
      <c r="D53" s="1" t="s">
        <v>184</v>
      </c>
      <c r="E53" s="1" t="s">
        <v>185</v>
      </c>
      <c r="F53" s="1" t="s">
        <v>836</v>
      </c>
      <c r="G53" s="1" t="s">
        <v>346</v>
      </c>
      <c r="H53" s="1" t="s">
        <v>346</v>
      </c>
      <c r="I53" s="1" t="s">
        <v>346</v>
      </c>
      <c r="J53" s="1" t="s">
        <v>346</v>
      </c>
      <c r="K53" s="1" t="s">
        <v>811</v>
      </c>
      <c r="L53" s="1" t="s">
        <v>186</v>
      </c>
      <c r="M53" s="1" t="s">
        <v>346</v>
      </c>
    </row>
    <row r="54" spans="1:13">
      <c r="A54" s="1">
        <v>53</v>
      </c>
      <c r="B54" s="1" t="s">
        <v>814</v>
      </c>
      <c r="C54" s="1" t="s">
        <v>346</v>
      </c>
      <c r="D54" s="1" t="s">
        <v>187</v>
      </c>
      <c r="E54" s="1" t="s">
        <v>188</v>
      </c>
      <c r="F54" s="1" t="s">
        <v>837</v>
      </c>
      <c r="G54" s="1" t="s">
        <v>346</v>
      </c>
      <c r="H54" s="1" t="s">
        <v>346</v>
      </c>
      <c r="I54" s="1" t="s">
        <v>346</v>
      </c>
      <c r="J54" s="1" t="s">
        <v>346</v>
      </c>
      <c r="K54" s="1" t="s">
        <v>811</v>
      </c>
      <c r="L54" s="1" t="s">
        <v>189</v>
      </c>
      <c r="M54" s="1" t="s">
        <v>346</v>
      </c>
    </row>
    <row r="55" spans="1:13">
      <c r="A55" s="1">
        <v>54</v>
      </c>
      <c r="B55" s="1" t="s">
        <v>814</v>
      </c>
      <c r="C55" s="1" t="s">
        <v>346</v>
      </c>
      <c r="D55" s="1" t="s">
        <v>190</v>
      </c>
      <c r="E55" s="1" t="s">
        <v>191</v>
      </c>
      <c r="F55" s="1" t="s">
        <v>838</v>
      </c>
      <c r="G55" s="1" t="s">
        <v>346</v>
      </c>
      <c r="H55" s="1" t="s">
        <v>346</v>
      </c>
      <c r="I55" s="1" t="s">
        <v>346</v>
      </c>
      <c r="J55" s="1" t="s">
        <v>346</v>
      </c>
      <c r="K55" s="1" t="s">
        <v>811</v>
      </c>
      <c r="L55" s="1" t="s">
        <v>192</v>
      </c>
      <c r="M55" s="1" t="s">
        <v>346</v>
      </c>
    </row>
    <row r="56" spans="1:13">
      <c r="A56" s="1">
        <v>55</v>
      </c>
      <c r="B56" s="1" t="s">
        <v>809</v>
      </c>
      <c r="C56" s="1" t="s">
        <v>346</v>
      </c>
      <c r="D56" s="1" t="s">
        <v>193</v>
      </c>
      <c r="E56" s="1" t="s">
        <v>194</v>
      </c>
      <c r="F56" s="1" t="s">
        <v>839</v>
      </c>
      <c r="G56" s="1" t="s">
        <v>346</v>
      </c>
      <c r="H56" s="1" t="s">
        <v>346</v>
      </c>
      <c r="I56" s="1" t="s">
        <v>346</v>
      </c>
      <c r="J56" s="1" t="s">
        <v>346</v>
      </c>
      <c r="K56" s="1" t="s">
        <v>811</v>
      </c>
      <c r="L56" s="1" t="s">
        <v>195</v>
      </c>
      <c r="M56" s="1" t="s">
        <v>346</v>
      </c>
    </row>
    <row r="57" spans="1:13">
      <c r="A57" s="1">
        <v>56</v>
      </c>
      <c r="B57" s="1" t="s">
        <v>814</v>
      </c>
      <c r="C57" s="1" t="s">
        <v>346</v>
      </c>
      <c r="D57" s="1" t="s">
        <v>196</v>
      </c>
      <c r="E57" s="1" t="s">
        <v>197</v>
      </c>
      <c r="F57" s="1" t="s">
        <v>840</v>
      </c>
      <c r="G57" s="1" t="s">
        <v>346</v>
      </c>
      <c r="H57" s="1" t="s">
        <v>346</v>
      </c>
      <c r="I57" s="1" t="s">
        <v>346</v>
      </c>
      <c r="J57" s="1" t="s">
        <v>346</v>
      </c>
      <c r="K57" s="1" t="s">
        <v>811</v>
      </c>
      <c r="L57" s="1" t="s">
        <v>198</v>
      </c>
      <c r="M57" s="1" t="s">
        <v>346</v>
      </c>
    </row>
    <row r="58" spans="1:13">
      <c r="A58" s="1">
        <v>57</v>
      </c>
      <c r="B58" s="1" t="s">
        <v>814</v>
      </c>
      <c r="C58" s="1" t="s">
        <v>346</v>
      </c>
      <c r="D58" s="1" t="s">
        <v>199</v>
      </c>
      <c r="E58" s="1" t="s">
        <v>200</v>
      </c>
      <c r="F58" s="1" t="s">
        <v>841</v>
      </c>
      <c r="G58" s="1" t="s">
        <v>346</v>
      </c>
      <c r="H58" s="1" t="s">
        <v>346</v>
      </c>
      <c r="I58" s="1" t="s">
        <v>346</v>
      </c>
      <c r="J58" s="1" t="s">
        <v>346</v>
      </c>
      <c r="K58" s="1" t="s">
        <v>811</v>
      </c>
      <c r="L58" s="1" t="s">
        <v>201</v>
      </c>
      <c r="M58" s="1" t="s">
        <v>346</v>
      </c>
    </row>
    <row r="59" spans="1:13">
      <c r="A59" s="1">
        <v>58</v>
      </c>
      <c r="B59" s="1" t="s">
        <v>814</v>
      </c>
      <c r="C59" s="1" t="s">
        <v>346</v>
      </c>
      <c r="D59" s="1" t="s">
        <v>202</v>
      </c>
      <c r="E59" s="1" t="s">
        <v>203</v>
      </c>
      <c r="F59" s="1" t="s">
        <v>842</v>
      </c>
      <c r="G59" s="1" t="s">
        <v>346</v>
      </c>
      <c r="H59" s="1" t="s">
        <v>346</v>
      </c>
      <c r="I59" s="1" t="s">
        <v>346</v>
      </c>
      <c r="J59" s="1" t="s">
        <v>346</v>
      </c>
      <c r="K59" s="1" t="s">
        <v>811</v>
      </c>
      <c r="L59" s="1" t="s">
        <v>204</v>
      </c>
      <c r="M59" s="1" t="s">
        <v>346</v>
      </c>
    </row>
    <row r="60" spans="1:13">
      <c r="A60" s="1">
        <v>59</v>
      </c>
      <c r="B60" s="1" t="s">
        <v>809</v>
      </c>
      <c r="C60" s="1" t="s">
        <v>346</v>
      </c>
      <c r="D60" s="1" t="s">
        <v>205</v>
      </c>
      <c r="E60" s="1" t="s">
        <v>206</v>
      </c>
      <c r="F60" s="1" t="s">
        <v>843</v>
      </c>
      <c r="G60" s="1" t="s">
        <v>346</v>
      </c>
      <c r="H60" s="1" t="s">
        <v>346</v>
      </c>
      <c r="I60" s="1" t="s">
        <v>346</v>
      </c>
      <c r="J60" s="1" t="s">
        <v>346</v>
      </c>
      <c r="K60" s="1" t="s">
        <v>811</v>
      </c>
      <c r="L60" s="1" t="s">
        <v>207</v>
      </c>
      <c r="M60" s="1" t="s">
        <v>346</v>
      </c>
    </row>
    <row r="61" spans="1:13">
      <c r="A61" s="1">
        <v>60</v>
      </c>
      <c r="B61" s="1" t="s">
        <v>809</v>
      </c>
      <c r="C61" s="1" t="s">
        <v>346</v>
      </c>
      <c r="D61" s="1" t="s">
        <v>208</v>
      </c>
      <c r="E61" s="1" t="s">
        <v>209</v>
      </c>
      <c r="F61" s="1" t="s">
        <v>844</v>
      </c>
      <c r="G61" s="1" t="s">
        <v>346</v>
      </c>
      <c r="H61" s="1" t="s">
        <v>346</v>
      </c>
      <c r="I61" s="1" t="s">
        <v>346</v>
      </c>
      <c r="J61" s="1" t="s">
        <v>346</v>
      </c>
      <c r="K61" s="1" t="s">
        <v>811</v>
      </c>
      <c r="L61" s="1" t="s">
        <v>210</v>
      </c>
      <c r="M61" s="1" t="s">
        <v>346</v>
      </c>
    </row>
    <row r="62" spans="1:13">
      <c r="A62" s="1">
        <v>61</v>
      </c>
      <c r="B62" s="1" t="s">
        <v>814</v>
      </c>
      <c r="C62" s="1" t="s">
        <v>346</v>
      </c>
      <c r="D62" s="1" t="s">
        <v>211</v>
      </c>
      <c r="E62" s="1" t="s">
        <v>212</v>
      </c>
      <c r="F62" s="1" t="s">
        <v>845</v>
      </c>
      <c r="G62" s="1" t="s">
        <v>346</v>
      </c>
      <c r="H62" s="1" t="s">
        <v>346</v>
      </c>
      <c r="I62" s="1" t="s">
        <v>346</v>
      </c>
      <c r="J62" s="1" t="s">
        <v>346</v>
      </c>
      <c r="K62" s="1" t="s">
        <v>811</v>
      </c>
      <c r="L62" s="1" t="s">
        <v>213</v>
      </c>
      <c r="M62" s="1" t="s">
        <v>346</v>
      </c>
    </row>
    <row r="63" spans="1:13">
      <c r="A63" s="1">
        <v>62</v>
      </c>
      <c r="B63" s="1" t="s">
        <v>814</v>
      </c>
      <c r="C63" s="1" t="s">
        <v>846</v>
      </c>
      <c r="D63" s="1" t="s">
        <v>214</v>
      </c>
      <c r="E63" s="1" t="s">
        <v>215</v>
      </c>
      <c r="F63" s="1" t="s">
        <v>847</v>
      </c>
      <c r="G63" s="1" t="s">
        <v>346</v>
      </c>
      <c r="H63" s="1" t="s">
        <v>346</v>
      </c>
      <c r="I63" s="1" t="s">
        <v>346</v>
      </c>
      <c r="J63" s="1" t="s">
        <v>346</v>
      </c>
      <c r="K63" s="1" t="s">
        <v>811</v>
      </c>
      <c r="L63" s="1" t="s">
        <v>33</v>
      </c>
      <c r="M63" s="1" t="s">
        <v>346</v>
      </c>
    </row>
    <row r="64" spans="1:13">
      <c r="A64" s="1">
        <v>63</v>
      </c>
      <c r="B64" s="1" t="s">
        <v>809</v>
      </c>
      <c r="C64" s="1" t="s">
        <v>346</v>
      </c>
      <c r="D64" s="1" t="s">
        <v>216</v>
      </c>
      <c r="E64" s="1" t="s">
        <v>93</v>
      </c>
      <c r="F64" s="1" t="s">
        <v>848</v>
      </c>
      <c r="G64" s="1" t="s">
        <v>346</v>
      </c>
      <c r="H64" s="1" t="s">
        <v>346</v>
      </c>
      <c r="I64" s="1" t="s">
        <v>346</v>
      </c>
      <c r="J64" s="1" t="s">
        <v>346</v>
      </c>
      <c r="K64" s="1" t="s">
        <v>811</v>
      </c>
      <c r="L64" s="1" t="s">
        <v>94</v>
      </c>
      <c r="M64" s="1" t="s">
        <v>346</v>
      </c>
    </row>
    <row r="65" spans="1:13">
      <c r="A65" s="1">
        <v>64</v>
      </c>
      <c r="B65" s="1" t="s">
        <v>809</v>
      </c>
      <c r="C65" s="1" t="s">
        <v>346</v>
      </c>
      <c r="D65" s="1" t="s">
        <v>217</v>
      </c>
      <c r="E65" s="1" t="s">
        <v>98</v>
      </c>
      <c r="F65" s="1" t="s">
        <v>690</v>
      </c>
      <c r="G65" s="1" t="s">
        <v>346</v>
      </c>
      <c r="H65" s="1" t="s">
        <v>346</v>
      </c>
      <c r="I65" s="1" t="s">
        <v>346</v>
      </c>
      <c r="J65" s="1" t="s">
        <v>346</v>
      </c>
      <c r="K65" s="1" t="s">
        <v>811</v>
      </c>
      <c r="L65" s="1" t="s">
        <v>94</v>
      </c>
      <c r="M65" s="1" t="s">
        <v>346</v>
      </c>
    </row>
    <row r="66" spans="1:13">
      <c r="A66" s="1">
        <v>65</v>
      </c>
      <c r="B66" s="1" t="s">
        <v>814</v>
      </c>
      <c r="C66" s="1" t="s">
        <v>346</v>
      </c>
      <c r="D66" s="1" t="s">
        <v>218</v>
      </c>
      <c r="E66" s="1" t="s">
        <v>219</v>
      </c>
      <c r="F66" s="1" t="s">
        <v>847</v>
      </c>
      <c r="G66" s="1" t="s">
        <v>346</v>
      </c>
      <c r="H66" s="1" t="s">
        <v>346</v>
      </c>
      <c r="I66" s="1" t="s">
        <v>346</v>
      </c>
      <c r="J66" s="1" t="s">
        <v>346</v>
      </c>
      <c r="K66" s="1" t="s">
        <v>811</v>
      </c>
      <c r="L66" s="1" t="s">
        <v>33</v>
      </c>
      <c r="M66" s="1" t="s">
        <v>346</v>
      </c>
    </row>
    <row r="67" spans="1:13">
      <c r="A67" s="1">
        <v>66</v>
      </c>
      <c r="B67" s="1" t="s">
        <v>814</v>
      </c>
      <c r="C67" s="1" t="s">
        <v>346</v>
      </c>
      <c r="D67" s="1" t="s">
        <v>220</v>
      </c>
      <c r="E67" s="1" t="s">
        <v>221</v>
      </c>
      <c r="F67" s="1" t="s">
        <v>849</v>
      </c>
      <c r="G67" s="1" t="s">
        <v>346</v>
      </c>
      <c r="H67" s="1" t="s">
        <v>346</v>
      </c>
      <c r="I67" s="1" t="s">
        <v>346</v>
      </c>
      <c r="J67" s="1" t="s">
        <v>346</v>
      </c>
      <c r="K67" s="1" t="s">
        <v>811</v>
      </c>
      <c r="L67" s="1" t="s">
        <v>222</v>
      </c>
      <c r="M67" s="1" t="s">
        <v>346</v>
      </c>
    </row>
    <row r="68" spans="1:13">
      <c r="A68" s="1">
        <v>67</v>
      </c>
      <c r="B68" s="1" t="s">
        <v>814</v>
      </c>
      <c r="C68" s="1" t="s">
        <v>346</v>
      </c>
      <c r="D68" s="1" t="s">
        <v>223</v>
      </c>
      <c r="E68" s="1" t="s">
        <v>224</v>
      </c>
      <c r="F68" s="1" t="s">
        <v>849</v>
      </c>
      <c r="G68" s="1" t="s">
        <v>346</v>
      </c>
      <c r="H68" s="1" t="s">
        <v>346</v>
      </c>
      <c r="I68" s="1" t="s">
        <v>346</v>
      </c>
      <c r="J68" s="1" t="s">
        <v>346</v>
      </c>
      <c r="K68" s="1" t="s">
        <v>811</v>
      </c>
      <c r="L68" s="1" t="s">
        <v>222</v>
      </c>
      <c r="M68" s="1" t="s">
        <v>346</v>
      </c>
    </row>
    <row r="69" spans="1:13">
      <c r="A69" s="1">
        <v>68</v>
      </c>
      <c r="B69" s="1" t="s">
        <v>814</v>
      </c>
      <c r="C69" s="1" t="s">
        <v>346</v>
      </c>
      <c r="D69" s="1" t="s">
        <v>225</v>
      </c>
      <c r="E69" s="1" t="s">
        <v>226</v>
      </c>
      <c r="F69" s="1" t="s">
        <v>850</v>
      </c>
      <c r="G69" s="1" t="s">
        <v>346</v>
      </c>
      <c r="H69" s="1" t="s">
        <v>346</v>
      </c>
      <c r="I69" s="1" t="s">
        <v>346</v>
      </c>
      <c r="J69" s="1" t="s">
        <v>346</v>
      </c>
      <c r="K69" s="1" t="s">
        <v>811</v>
      </c>
      <c r="L69" s="1" t="s">
        <v>222</v>
      </c>
      <c r="M69" s="1" t="s">
        <v>346</v>
      </c>
    </row>
    <row r="70" spans="1:13">
      <c r="A70" s="1">
        <v>69</v>
      </c>
      <c r="B70" s="1" t="s">
        <v>814</v>
      </c>
      <c r="C70" s="1" t="s">
        <v>346</v>
      </c>
      <c r="D70" s="1" t="s">
        <v>227</v>
      </c>
      <c r="E70" s="1" t="s">
        <v>228</v>
      </c>
      <c r="F70" s="1" t="s">
        <v>851</v>
      </c>
      <c r="G70" s="1" t="s">
        <v>346</v>
      </c>
      <c r="H70" s="1" t="s">
        <v>346</v>
      </c>
      <c r="I70" s="1" t="s">
        <v>346</v>
      </c>
      <c r="J70" s="1" t="s">
        <v>346</v>
      </c>
      <c r="K70" s="1" t="s">
        <v>811</v>
      </c>
      <c r="L70" s="1" t="s">
        <v>222</v>
      </c>
      <c r="M70" s="1" t="s">
        <v>346</v>
      </c>
    </row>
    <row r="71" spans="1:13">
      <c r="A71" s="1">
        <v>70</v>
      </c>
      <c r="B71" s="1" t="s">
        <v>814</v>
      </c>
      <c r="C71" s="1" t="s">
        <v>346</v>
      </c>
      <c r="D71" s="1" t="s">
        <v>229</v>
      </c>
      <c r="E71" s="1" t="s">
        <v>230</v>
      </c>
      <c r="F71" s="1" t="s">
        <v>852</v>
      </c>
      <c r="G71" s="1" t="s">
        <v>346</v>
      </c>
      <c r="H71" s="1" t="s">
        <v>346</v>
      </c>
      <c r="I71" s="1" t="s">
        <v>346</v>
      </c>
      <c r="J71" s="1" t="s">
        <v>346</v>
      </c>
      <c r="K71" s="1" t="s">
        <v>811</v>
      </c>
      <c r="L71" s="1" t="s">
        <v>222</v>
      </c>
      <c r="M71" s="1" t="s">
        <v>346</v>
      </c>
    </row>
    <row r="72" spans="1:13">
      <c r="A72" s="1">
        <v>71</v>
      </c>
      <c r="B72" s="1" t="s">
        <v>814</v>
      </c>
      <c r="C72" s="1" t="s">
        <v>346</v>
      </c>
      <c r="D72" s="1" t="s">
        <v>231</v>
      </c>
      <c r="E72" s="1" t="s">
        <v>232</v>
      </c>
      <c r="F72" s="1" t="s">
        <v>852</v>
      </c>
      <c r="G72" s="1" t="s">
        <v>346</v>
      </c>
      <c r="H72" s="1" t="s">
        <v>346</v>
      </c>
      <c r="I72" s="1" t="s">
        <v>346</v>
      </c>
      <c r="J72" s="1" t="s">
        <v>346</v>
      </c>
      <c r="K72" s="1" t="s">
        <v>811</v>
      </c>
      <c r="L72" s="1" t="s">
        <v>222</v>
      </c>
      <c r="M72" s="1" t="s">
        <v>346</v>
      </c>
    </row>
    <row r="73" spans="1:13">
      <c r="A73" s="1">
        <v>72</v>
      </c>
      <c r="B73" s="1" t="s">
        <v>814</v>
      </c>
      <c r="C73" s="1" t="s">
        <v>346</v>
      </c>
      <c r="D73" s="1" t="s">
        <v>233</v>
      </c>
      <c r="E73" s="1" t="s">
        <v>234</v>
      </c>
      <c r="F73" s="1" t="s">
        <v>853</v>
      </c>
      <c r="G73" s="1" t="s">
        <v>346</v>
      </c>
      <c r="H73" s="1" t="s">
        <v>346</v>
      </c>
      <c r="I73" s="1" t="s">
        <v>346</v>
      </c>
      <c r="J73" s="1" t="s">
        <v>346</v>
      </c>
      <c r="K73" s="1" t="s">
        <v>811</v>
      </c>
      <c r="L73" s="1" t="s">
        <v>222</v>
      </c>
      <c r="M73" s="1" t="s">
        <v>346</v>
      </c>
    </row>
    <row r="74" spans="1:13">
      <c r="A74" s="1">
        <v>73</v>
      </c>
      <c r="B74" s="1" t="s">
        <v>814</v>
      </c>
      <c r="C74" s="1" t="s">
        <v>346</v>
      </c>
      <c r="D74" s="1" t="s">
        <v>235</v>
      </c>
      <c r="E74" s="1" t="s">
        <v>236</v>
      </c>
      <c r="F74" s="1" t="s">
        <v>854</v>
      </c>
      <c r="G74" s="1" t="s">
        <v>346</v>
      </c>
      <c r="H74" s="1" t="s">
        <v>346</v>
      </c>
      <c r="I74" s="1" t="s">
        <v>346</v>
      </c>
      <c r="J74" s="1" t="s">
        <v>346</v>
      </c>
      <c r="K74" s="1" t="s">
        <v>811</v>
      </c>
      <c r="L74" s="1" t="s">
        <v>222</v>
      </c>
      <c r="M74" s="1" t="s">
        <v>346</v>
      </c>
    </row>
    <row r="75" spans="1:13">
      <c r="A75" s="1">
        <v>74</v>
      </c>
      <c r="B75" s="1" t="s">
        <v>809</v>
      </c>
      <c r="C75" s="1" t="s">
        <v>346</v>
      </c>
      <c r="D75" s="1" t="s">
        <v>237</v>
      </c>
      <c r="E75" s="1" t="s">
        <v>238</v>
      </c>
      <c r="F75" s="1" t="s">
        <v>855</v>
      </c>
      <c r="G75" s="1" t="s">
        <v>346</v>
      </c>
      <c r="H75" s="1" t="s">
        <v>346</v>
      </c>
      <c r="I75" s="1" t="s">
        <v>346</v>
      </c>
      <c r="J75" s="1" t="s">
        <v>346</v>
      </c>
      <c r="K75" s="1" t="s">
        <v>811</v>
      </c>
      <c r="L75" s="1" t="s">
        <v>222</v>
      </c>
      <c r="M75" s="1" t="s">
        <v>346</v>
      </c>
    </row>
    <row r="76" spans="1:13">
      <c r="A76" s="1">
        <v>75</v>
      </c>
      <c r="B76" s="1" t="s">
        <v>809</v>
      </c>
      <c r="C76" s="1" t="s">
        <v>346</v>
      </c>
      <c r="D76" s="1" t="s">
        <v>239</v>
      </c>
      <c r="E76" s="1" t="s">
        <v>240</v>
      </c>
      <c r="F76" s="1" t="s">
        <v>856</v>
      </c>
      <c r="G76" s="1" t="s">
        <v>346</v>
      </c>
      <c r="H76" s="1" t="s">
        <v>346</v>
      </c>
      <c r="I76" s="1" t="s">
        <v>346</v>
      </c>
      <c r="J76" s="1" t="s">
        <v>346</v>
      </c>
      <c r="K76" s="1" t="s">
        <v>811</v>
      </c>
      <c r="L76" s="1" t="s">
        <v>222</v>
      </c>
      <c r="M76" s="1" t="s">
        <v>346</v>
      </c>
    </row>
    <row r="77" spans="1:13">
      <c r="A77" s="1">
        <v>76</v>
      </c>
      <c r="B77" s="1" t="s">
        <v>809</v>
      </c>
      <c r="C77" s="1" t="s">
        <v>346</v>
      </c>
      <c r="D77" s="1" t="s">
        <v>241</v>
      </c>
      <c r="E77" s="1" t="s">
        <v>102</v>
      </c>
      <c r="F77" s="1" t="s">
        <v>857</v>
      </c>
      <c r="G77" s="1" t="s">
        <v>346</v>
      </c>
      <c r="H77" s="1" t="s">
        <v>346</v>
      </c>
      <c r="I77" s="1" t="s">
        <v>346</v>
      </c>
      <c r="J77" s="1" t="s">
        <v>346</v>
      </c>
      <c r="K77" s="1" t="s">
        <v>811</v>
      </c>
      <c r="L77" s="1" t="s">
        <v>242</v>
      </c>
      <c r="M77" s="1" t="s">
        <v>346</v>
      </c>
    </row>
    <row r="78" spans="1:13">
      <c r="A78" s="1">
        <v>77</v>
      </c>
      <c r="B78" s="1" t="s">
        <v>858</v>
      </c>
      <c r="C78" s="1" t="s">
        <v>346</v>
      </c>
      <c r="D78" s="1" t="s">
        <v>243</v>
      </c>
      <c r="E78" s="1" t="s">
        <v>244</v>
      </c>
      <c r="F78" s="1" t="s">
        <v>859</v>
      </c>
      <c r="G78" s="1" t="s">
        <v>346</v>
      </c>
      <c r="H78" s="1" t="s">
        <v>346</v>
      </c>
      <c r="I78" s="1" t="s">
        <v>346</v>
      </c>
      <c r="J78" s="1" t="s">
        <v>346</v>
      </c>
      <c r="K78" s="1" t="s">
        <v>811</v>
      </c>
      <c r="L78" s="1" t="s">
        <v>242</v>
      </c>
      <c r="M78" s="1" t="s">
        <v>346</v>
      </c>
    </row>
    <row r="79" spans="1:13">
      <c r="A79" s="1">
        <v>78</v>
      </c>
      <c r="B79" s="1" t="s">
        <v>814</v>
      </c>
      <c r="C79" s="1" t="s">
        <v>346</v>
      </c>
      <c r="D79" s="1" t="s">
        <v>245</v>
      </c>
      <c r="E79" s="1" t="s">
        <v>246</v>
      </c>
      <c r="F79" s="1" t="s">
        <v>860</v>
      </c>
      <c r="G79" s="1" t="s">
        <v>346</v>
      </c>
      <c r="H79" s="1" t="s">
        <v>346</v>
      </c>
      <c r="I79" s="1" t="s">
        <v>346</v>
      </c>
      <c r="J79" s="1" t="s">
        <v>346</v>
      </c>
      <c r="K79" s="1" t="s">
        <v>811</v>
      </c>
      <c r="L79" s="1" t="s">
        <v>62</v>
      </c>
      <c r="M79" s="1" t="s">
        <v>346</v>
      </c>
    </row>
    <row r="80" spans="1:13">
      <c r="A80" s="1">
        <v>79</v>
      </c>
      <c r="B80" s="1" t="s">
        <v>814</v>
      </c>
      <c r="C80" s="1" t="s">
        <v>346</v>
      </c>
      <c r="D80" s="1" t="s">
        <v>247</v>
      </c>
      <c r="E80" s="1" t="s">
        <v>248</v>
      </c>
      <c r="F80" s="1" t="s">
        <v>861</v>
      </c>
      <c r="G80" s="1" t="s">
        <v>346</v>
      </c>
      <c r="H80" s="1" t="s">
        <v>346</v>
      </c>
      <c r="I80" s="1" t="s">
        <v>346</v>
      </c>
      <c r="J80" s="1" t="s">
        <v>346</v>
      </c>
      <c r="K80" s="1" t="s">
        <v>811</v>
      </c>
      <c r="L80" s="1" t="s">
        <v>62</v>
      </c>
      <c r="M80" s="1" t="s">
        <v>346</v>
      </c>
    </row>
    <row r="81" spans="1:13">
      <c r="A81" s="1">
        <v>80</v>
      </c>
      <c r="B81" s="1" t="s">
        <v>814</v>
      </c>
      <c r="C81" s="1" t="s">
        <v>346</v>
      </c>
      <c r="D81" s="1" t="s">
        <v>249</v>
      </c>
      <c r="E81" s="1" t="s">
        <v>250</v>
      </c>
      <c r="F81" s="1" t="s">
        <v>862</v>
      </c>
      <c r="G81" s="1" t="s">
        <v>346</v>
      </c>
      <c r="H81" s="1" t="s">
        <v>346</v>
      </c>
      <c r="I81" s="1" t="s">
        <v>346</v>
      </c>
      <c r="J81" s="1" t="s">
        <v>346</v>
      </c>
      <c r="K81" s="1" t="s">
        <v>811</v>
      </c>
      <c r="L81" s="1" t="s">
        <v>62</v>
      </c>
      <c r="M81" s="1" t="s">
        <v>346</v>
      </c>
    </row>
    <row r="82" spans="1:13">
      <c r="A82" s="1">
        <v>81</v>
      </c>
      <c r="B82" s="1" t="s">
        <v>814</v>
      </c>
      <c r="C82" s="1" t="s">
        <v>346</v>
      </c>
      <c r="D82" s="1" t="s">
        <v>251</v>
      </c>
      <c r="E82" s="1" t="s">
        <v>252</v>
      </c>
      <c r="F82" s="1" t="s">
        <v>863</v>
      </c>
      <c r="G82" s="1" t="s">
        <v>346</v>
      </c>
      <c r="H82" s="1" t="s">
        <v>346</v>
      </c>
      <c r="I82" s="1" t="s">
        <v>346</v>
      </c>
      <c r="J82" s="1" t="s">
        <v>346</v>
      </c>
      <c r="K82" s="1" t="s">
        <v>811</v>
      </c>
      <c r="L82" s="1" t="s">
        <v>62</v>
      </c>
      <c r="M82" s="1" t="s">
        <v>346</v>
      </c>
    </row>
    <row r="83" spans="1:13">
      <c r="A83" s="1">
        <v>82</v>
      </c>
      <c r="B83" s="1" t="s">
        <v>814</v>
      </c>
      <c r="C83" s="1" t="s">
        <v>346</v>
      </c>
      <c r="D83" s="1" t="s">
        <v>253</v>
      </c>
      <c r="E83" s="1" t="s">
        <v>254</v>
      </c>
      <c r="F83" s="1" t="s">
        <v>864</v>
      </c>
      <c r="G83" s="1" t="s">
        <v>346</v>
      </c>
      <c r="H83" s="1" t="s">
        <v>346</v>
      </c>
      <c r="I83" s="1" t="s">
        <v>346</v>
      </c>
      <c r="J83" s="1" t="s">
        <v>346</v>
      </c>
      <c r="K83" s="1" t="s">
        <v>811</v>
      </c>
      <c r="L83" s="1" t="s">
        <v>62</v>
      </c>
      <c r="M83" s="1" t="s">
        <v>346</v>
      </c>
    </row>
    <row r="84" spans="1:13">
      <c r="A84" s="1">
        <v>83</v>
      </c>
      <c r="B84" s="1" t="s">
        <v>814</v>
      </c>
      <c r="C84" s="1" t="s">
        <v>346</v>
      </c>
      <c r="D84" s="1" t="s">
        <v>255</v>
      </c>
      <c r="E84" s="1" t="s">
        <v>256</v>
      </c>
      <c r="F84" s="1" t="s">
        <v>865</v>
      </c>
      <c r="G84" s="1" t="s">
        <v>346</v>
      </c>
      <c r="H84" s="1" t="s">
        <v>346</v>
      </c>
      <c r="I84" s="1" t="s">
        <v>346</v>
      </c>
      <c r="J84" s="1" t="s">
        <v>346</v>
      </c>
      <c r="K84" s="1" t="s">
        <v>811</v>
      </c>
      <c r="L84" s="1" t="s">
        <v>62</v>
      </c>
      <c r="M84" s="1" t="s">
        <v>346</v>
      </c>
    </row>
    <row r="85" spans="1:13">
      <c r="A85" s="1">
        <v>84</v>
      </c>
      <c r="B85" s="1" t="s">
        <v>814</v>
      </c>
      <c r="C85" s="1" t="s">
        <v>346</v>
      </c>
      <c r="D85" s="1" t="s">
        <v>257</v>
      </c>
      <c r="E85" s="1" t="s">
        <v>258</v>
      </c>
      <c r="F85" s="1" t="s">
        <v>860</v>
      </c>
      <c r="G85" s="1" t="s">
        <v>346</v>
      </c>
      <c r="H85" s="1" t="s">
        <v>346</v>
      </c>
      <c r="I85" s="1" t="s">
        <v>346</v>
      </c>
      <c r="J85" s="1" t="s">
        <v>346</v>
      </c>
      <c r="K85" s="1" t="s">
        <v>811</v>
      </c>
      <c r="L85" s="1" t="s">
        <v>62</v>
      </c>
      <c r="M85" s="1" t="s">
        <v>346</v>
      </c>
    </row>
    <row r="86" spans="1:13">
      <c r="A86" s="1">
        <v>85</v>
      </c>
      <c r="B86" s="1" t="s">
        <v>814</v>
      </c>
      <c r="C86" s="1" t="s">
        <v>346</v>
      </c>
      <c r="D86" s="1" t="s">
        <v>259</v>
      </c>
      <c r="E86" s="1" t="s">
        <v>260</v>
      </c>
      <c r="F86" s="1" t="s">
        <v>863</v>
      </c>
      <c r="G86" s="1" t="s">
        <v>346</v>
      </c>
      <c r="H86" s="1" t="s">
        <v>346</v>
      </c>
      <c r="I86" s="1" t="s">
        <v>346</v>
      </c>
      <c r="J86" s="1" t="s">
        <v>346</v>
      </c>
      <c r="K86" s="1" t="s">
        <v>811</v>
      </c>
      <c r="L86" s="1" t="s">
        <v>62</v>
      </c>
      <c r="M86" s="1" t="s">
        <v>346</v>
      </c>
    </row>
    <row r="87" spans="1:13">
      <c r="A87" s="1">
        <v>86</v>
      </c>
      <c r="B87" s="1" t="s">
        <v>814</v>
      </c>
      <c r="C87" s="1" t="s">
        <v>346</v>
      </c>
      <c r="D87" s="1" t="s">
        <v>261</v>
      </c>
      <c r="E87" s="1" t="s">
        <v>262</v>
      </c>
      <c r="F87" s="1" t="s">
        <v>866</v>
      </c>
      <c r="G87" s="1" t="s">
        <v>346</v>
      </c>
      <c r="H87" s="1" t="s">
        <v>346</v>
      </c>
      <c r="I87" s="1" t="s">
        <v>346</v>
      </c>
      <c r="J87" s="1" t="s">
        <v>346</v>
      </c>
      <c r="K87" s="1" t="s">
        <v>811</v>
      </c>
      <c r="L87" s="1" t="s">
        <v>62</v>
      </c>
      <c r="M87" s="1" t="s">
        <v>346</v>
      </c>
    </row>
    <row r="88" spans="1:13">
      <c r="A88" s="1">
        <v>87</v>
      </c>
      <c r="B88" s="1" t="s">
        <v>814</v>
      </c>
      <c r="C88" s="1" t="s">
        <v>346</v>
      </c>
      <c r="D88" s="1" t="s">
        <v>263</v>
      </c>
      <c r="E88" s="1" t="s">
        <v>264</v>
      </c>
      <c r="F88" s="1" t="s">
        <v>867</v>
      </c>
      <c r="G88" s="1" t="s">
        <v>346</v>
      </c>
      <c r="H88" s="1" t="s">
        <v>346</v>
      </c>
      <c r="I88" s="1" t="s">
        <v>346</v>
      </c>
      <c r="J88" s="1" t="s">
        <v>346</v>
      </c>
      <c r="K88" s="1" t="s">
        <v>811</v>
      </c>
      <c r="L88" s="1" t="s">
        <v>62</v>
      </c>
      <c r="M88" s="1" t="s">
        <v>346</v>
      </c>
    </row>
    <row r="89" spans="1:13">
      <c r="A89" s="1">
        <v>88</v>
      </c>
      <c r="B89" s="1" t="s">
        <v>814</v>
      </c>
      <c r="C89" s="1" t="s">
        <v>346</v>
      </c>
      <c r="D89" s="1" t="s">
        <v>265</v>
      </c>
      <c r="E89" s="1" t="s">
        <v>266</v>
      </c>
      <c r="F89" s="1" t="s">
        <v>868</v>
      </c>
      <c r="G89" s="1" t="s">
        <v>346</v>
      </c>
      <c r="H89" s="1" t="s">
        <v>346</v>
      </c>
      <c r="I89" s="1" t="s">
        <v>346</v>
      </c>
      <c r="J89" s="1" t="s">
        <v>346</v>
      </c>
      <c r="K89" s="1" t="s">
        <v>811</v>
      </c>
      <c r="L89" s="1" t="s">
        <v>62</v>
      </c>
      <c r="M89" s="1" t="s">
        <v>346</v>
      </c>
    </row>
    <row r="90" spans="1:13">
      <c r="A90" s="1">
        <v>89</v>
      </c>
      <c r="B90" s="1" t="s">
        <v>814</v>
      </c>
      <c r="C90" s="1" t="s">
        <v>346</v>
      </c>
      <c r="D90" s="1" t="s">
        <v>267</v>
      </c>
      <c r="E90" s="1" t="s">
        <v>268</v>
      </c>
      <c r="F90" s="1" t="s">
        <v>869</v>
      </c>
      <c r="G90" s="1" t="s">
        <v>346</v>
      </c>
      <c r="H90" s="1" t="s">
        <v>346</v>
      </c>
      <c r="I90" s="1" t="s">
        <v>346</v>
      </c>
      <c r="J90" s="1" t="s">
        <v>346</v>
      </c>
      <c r="K90" s="1" t="s">
        <v>811</v>
      </c>
      <c r="L90" s="1" t="s">
        <v>62</v>
      </c>
      <c r="M90" s="1" t="s">
        <v>346</v>
      </c>
    </row>
    <row r="91" spans="1:13">
      <c r="A91" s="1">
        <v>90</v>
      </c>
      <c r="B91" s="1" t="s">
        <v>814</v>
      </c>
      <c r="C91" s="1" t="s">
        <v>346</v>
      </c>
      <c r="D91" s="1" t="s">
        <v>269</v>
      </c>
      <c r="E91" s="1" t="s">
        <v>270</v>
      </c>
      <c r="F91" s="1" t="s">
        <v>870</v>
      </c>
      <c r="G91" s="1" t="s">
        <v>346</v>
      </c>
      <c r="H91" s="1" t="s">
        <v>346</v>
      </c>
      <c r="I91" s="1" t="s">
        <v>346</v>
      </c>
      <c r="J91" s="1" t="s">
        <v>346</v>
      </c>
      <c r="K91" s="1" t="s">
        <v>811</v>
      </c>
      <c r="L91" s="1" t="s">
        <v>62</v>
      </c>
      <c r="M91" s="1" t="s">
        <v>346</v>
      </c>
    </row>
    <row r="92" spans="1:13">
      <c r="A92" s="1">
        <v>91</v>
      </c>
      <c r="B92" s="1" t="s">
        <v>814</v>
      </c>
      <c r="C92" s="1" t="s">
        <v>346</v>
      </c>
      <c r="D92" s="1" t="s">
        <v>271</v>
      </c>
      <c r="E92" s="1" t="s">
        <v>272</v>
      </c>
      <c r="F92" s="1" t="s">
        <v>871</v>
      </c>
      <c r="G92" s="1" t="s">
        <v>346</v>
      </c>
      <c r="H92" s="1" t="s">
        <v>346</v>
      </c>
      <c r="I92" s="1" t="s">
        <v>346</v>
      </c>
      <c r="J92" s="1" t="s">
        <v>346</v>
      </c>
      <c r="K92" s="1" t="s">
        <v>811</v>
      </c>
      <c r="L92" s="1" t="s">
        <v>62</v>
      </c>
      <c r="M92" s="1" t="s">
        <v>346</v>
      </c>
    </row>
    <row r="93" spans="1:13">
      <c r="A93" s="1">
        <v>92</v>
      </c>
      <c r="B93" s="1" t="s">
        <v>809</v>
      </c>
      <c r="C93" s="1" t="s">
        <v>346</v>
      </c>
      <c r="D93" s="1" t="s">
        <v>273</v>
      </c>
      <c r="E93" s="1" t="s">
        <v>274</v>
      </c>
      <c r="F93" s="1" t="s">
        <v>872</v>
      </c>
      <c r="G93" s="1" t="s">
        <v>346</v>
      </c>
      <c r="H93" s="1" t="s">
        <v>346</v>
      </c>
      <c r="I93" s="1" t="s">
        <v>346</v>
      </c>
      <c r="J93" s="1" t="s">
        <v>346</v>
      </c>
      <c r="K93" s="1" t="s">
        <v>811</v>
      </c>
      <c r="L93" s="1" t="s">
        <v>62</v>
      </c>
      <c r="M93" s="1" t="s">
        <v>346</v>
      </c>
    </row>
    <row r="94" spans="1:13">
      <c r="A94" s="1">
        <v>93</v>
      </c>
      <c r="B94" s="1" t="s">
        <v>809</v>
      </c>
      <c r="C94" s="1" t="s">
        <v>346</v>
      </c>
      <c r="D94" s="1" t="s">
        <v>275</v>
      </c>
      <c r="E94" s="1" t="s">
        <v>276</v>
      </c>
      <c r="F94" s="1" t="s">
        <v>873</v>
      </c>
      <c r="G94" s="1" t="s">
        <v>346</v>
      </c>
      <c r="H94" s="1" t="s">
        <v>346</v>
      </c>
      <c r="I94" s="1" t="s">
        <v>346</v>
      </c>
      <c r="J94" s="1" t="s">
        <v>346</v>
      </c>
      <c r="K94" s="1" t="s">
        <v>811</v>
      </c>
      <c r="L94" s="1" t="s">
        <v>62</v>
      </c>
      <c r="M94" s="1" t="s">
        <v>346</v>
      </c>
    </row>
    <row r="95" spans="1:13">
      <c r="A95" s="1">
        <v>94</v>
      </c>
      <c r="B95" s="1" t="s">
        <v>809</v>
      </c>
      <c r="C95" s="1" t="s">
        <v>346</v>
      </c>
      <c r="D95" s="1" t="s">
        <v>277</v>
      </c>
      <c r="E95" s="1" t="s">
        <v>278</v>
      </c>
      <c r="F95" s="1" t="s">
        <v>874</v>
      </c>
      <c r="G95" s="1" t="s">
        <v>346</v>
      </c>
      <c r="H95" s="1" t="s">
        <v>346</v>
      </c>
      <c r="I95" s="1" t="s">
        <v>346</v>
      </c>
      <c r="J95" s="1" t="s">
        <v>346</v>
      </c>
      <c r="K95" s="1" t="s">
        <v>811</v>
      </c>
      <c r="L95" s="1" t="s">
        <v>62</v>
      </c>
      <c r="M95" s="1" t="s">
        <v>346</v>
      </c>
    </row>
    <row r="96" spans="1:13">
      <c r="A96" s="1">
        <v>95</v>
      </c>
      <c r="B96" s="1" t="s">
        <v>809</v>
      </c>
      <c r="C96" s="1" t="s">
        <v>875</v>
      </c>
      <c r="D96" s="1" t="s">
        <v>279</v>
      </c>
      <c r="E96" s="1" t="s">
        <v>280</v>
      </c>
      <c r="F96" s="1" t="s">
        <v>876</v>
      </c>
      <c r="G96" s="1" t="s">
        <v>346</v>
      </c>
      <c r="H96" s="1" t="s">
        <v>346</v>
      </c>
      <c r="I96" s="1" t="s">
        <v>346</v>
      </c>
      <c r="J96" s="1" t="s">
        <v>346</v>
      </c>
      <c r="K96" s="1" t="s">
        <v>811</v>
      </c>
      <c r="L96" s="1" t="s">
        <v>62</v>
      </c>
      <c r="M96" s="1" t="s">
        <v>346</v>
      </c>
    </row>
    <row r="97" spans="1:13">
      <c r="A97" s="1">
        <v>96</v>
      </c>
      <c r="B97" s="1" t="s">
        <v>814</v>
      </c>
      <c r="C97" s="1" t="s">
        <v>346</v>
      </c>
      <c r="D97" s="1" t="s">
        <v>281</v>
      </c>
      <c r="E97" s="1" t="s">
        <v>282</v>
      </c>
      <c r="F97" s="1" t="s">
        <v>877</v>
      </c>
      <c r="G97" s="1" t="s">
        <v>346</v>
      </c>
      <c r="H97" s="1" t="s">
        <v>346</v>
      </c>
      <c r="I97" s="1" t="s">
        <v>346</v>
      </c>
      <c r="J97" s="1" t="s">
        <v>346</v>
      </c>
      <c r="K97" s="1" t="s">
        <v>811</v>
      </c>
      <c r="L97" s="1" t="s">
        <v>62</v>
      </c>
      <c r="M97" s="1" t="s">
        <v>346</v>
      </c>
    </row>
    <row r="98" spans="1:13">
      <c r="A98" s="1">
        <v>97</v>
      </c>
      <c r="B98" s="1" t="s">
        <v>814</v>
      </c>
      <c r="C98" s="1" t="s">
        <v>346</v>
      </c>
      <c r="D98" s="1" t="s">
        <v>283</v>
      </c>
      <c r="E98" s="1" t="s">
        <v>284</v>
      </c>
      <c r="F98" s="1" t="s">
        <v>877</v>
      </c>
      <c r="G98" s="1" t="s">
        <v>346</v>
      </c>
      <c r="H98" s="1" t="s">
        <v>346</v>
      </c>
      <c r="I98" s="1" t="s">
        <v>346</v>
      </c>
      <c r="J98" s="1" t="s">
        <v>346</v>
      </c>
      <c r="K98" s="1" t="s">
        <v>811</v>
      </c>
      <c r="L98" s="1" t="s">
        <v>62</v>
      </c>
      <c r="M98" s="1" t="s">
        <v>346</v>
      </c>
    </row>
    <row r="99" spans="1:13">
      <c r="A99" s="1">
        <v>98</v>
      </c>
      <c r="B99" s="1" t="s">
        <v>878</v>
      </c>
      <c r="C99" s="1" t="s">
        <v>346</v>
      </c>
      <c r="D99" s="1" t="s">
        <v>285</v>
      </c>
      <c r="E99" s="1" t="s">
        <v>286</v>
      </c>
      <c r="F99" s="1" t="s">
        <v>879</v>
      </c>
      <c r="G99" s="1" t="s">
        <v>346</v>
      </c>
      <c r="H99" s="1" t="s">
        <v>346</v>
      </c>
      <c r="I99" s="1" t="s">
        <v>346</v>
      </c>
      <c r="J99" s="1" t="s">
        <v>346</v>
      </c>
      <c r="K99" s="1" t="s">
        <v>811</v>
      </c>
      <c r="L99" s="1" t="s">
        <v>62</v>
      </c>
      <c r="M99" s="1" t="s">
        <v>346</v>
      </c>
    </row>
    <row r="100" spans="1:13">
      <c r="A100" s="1">
        <v>99</v>
      </c>
      <c r="B100" s="1" t="s">
        <v>878</v>
      </c>
      <c r="C100" s="1" t="s">
        <v>346</v>
      </c>
      <c r="D100" s="1" t="s">
        <v>287</v>
      </c>
      <c r="E100" s="1" t="s">
        <v>288</v>
      </c>
      <c r="F100" s="1" t="s">
        <v>871</v>
      </c>
      <c r="G100" s="1" t="s">
        <v>346</v>
      </c>
      <c r="H100" s="1" t="s">
        <v>346</v>
      </c>
      <c r="I100" s="1" t="s">
        <v>346</v>
      </c>
      <c r="J100" s="1" t="s">
        <v>346</v>
      </c>
      <c r="K100" s="1" t="s">
        <v>811</v>
      </c>
      <c r="L100" s="1" t="s">
        <v>62</v>
      </c>
      <c r="M100" s="1" t="s">
        <v>346</v>
      </c>
    </row>
    <row r="101" spans="1:13">
      <c r="A101" s="1">
        <v>100</v>
      </c>
      <c r="B101" s="1" t="s">
        <v>814</v>
      </c>
      <c r="C101" s="1" t="s">
        <v>346</v>
      </c>
      <c r="D101" s="1" t="s">
        <v>289</v>
      </c>
      <c r="E101" s="1" t="s">
        <v>290</v>
      </c>
      <c r="F101" s="1" t="s">
        <v>880</v>
      </c>
      <c r="G101" s="1" t="s">
        <v>346</v>
      </c>
      <c r="H101" s="1" t="s">
        <v>346</v>
      </c>
      <c r="I101" s="1" t="s">
        <v>346</v>
      </c>
      <c r="J101" s="1" t="s">
        <v>346</v>
      </c>
      <c r="K101" s="1" t="s">
        <v>811</v>
      </c>
      <c r="L101" s="1" t="s">
        <v>62</v>
      </c>
      <c r="M101" s="1" t="s">
        <v>346</v>
      </c>
    </row>
    <row r="102" spans="1:13">
      <c r="A102" s="1">
        <v>101</v>
      </c>
      <c r="B102" s="1" t="s">
        <v>809</v>
      </c>
      <c r="C102" s="1" t="s">
        <v>346</v>
      </c>
      <c r="D102" s="1" t="s">
        <v>291</v>
      </c>
      <c r="E102" s="1" t="s">
        <v>292</v>
      </c>
      <c r="F102" s="1" t="s">
        <v>881</v>
      </c>
      <c r="G102" s="1" t="s">
        <v>346</v>
      </c>
      <c r="H102" s="1" t="s">
        <v>346</v>
      </c>
      <c r="I102" s="1" t="s">
        <v>346</v>
      </c>
      <c r="J102" s="1" t="s">
        <v>346</v>
      </c>
      <c r="K102" s="1" t="s">
        <v>811</v>
      </c>
      <c r="L102" s="1" t="s">
        <v>62</v>
      </c>
      <c r="M102" s="1" t="s">
        <v>346</v>
      </c>
    </row>
    <row r="103" spans="1:13">
      <c r="A103" s="1">
        <v>102</v>
      </c>
      <c r="B103" s="1" t="s">
        <v>814</v>
      </c>
      <c r="C103" s="1" t="s">
        <v>346</v>
      </c>
      <c r="D103" s="1" t="s">
        <v>293</v>
      </c>
      <c r="E103" s="1" t="s">
        <v>294</v>
      </c>
      <c r="F103" s="1" t="s">
        <v>882</v>
      </c>
      <c r="G103" s="1" t="s">
        <v>346</v>
      </c>
      <c r="H103" s="1" t="s">
        <v>346</v>
      </c>
      <c r="I103" s="1" t="s">
        <v>346</v>
      </c>
      <c r="J103" s="1" t="s">
        <v>346</v>
      </c>
      <c r="K103" s="1" t="s">
        <v>811</v>
      </c>
      <c r="L103" s="1" t="s">
        <v>62</v>
      </c>
      <c r="M103" s="1" t="s">
        <v>346</v>
      </c>
    </row>
    <row r="104" spans="1:13">
      <c r="A104" s="1">
        <v>103</v>
      </c>
      <c r="B104" s="1" t="s">
        <v>814</v>
      </c>
      <c r="C104" s="1" t="s">
        <v>346</v>
      </c>
      <c r="D104" s="1" t="s">
        <v>295</v>
      </c>
      <c r="E104" s="1" t="s">
        <v>296</v>
      </c>
      <c r="F104" s="1" t="s">
        <v>883</v>
      </c>
      <c r="G104" s="1" t="s">
        <v>346</v>
      </c>
      <c r="H104" s="1" t="s">
        <v>346</v>
      </c>
      <c r="I104" s="1" t="s">
        <v>346</v>
      </c>
      <c r="J104" s="1" t="s">
        <v>346</v>
      </c>
      <c r="K104" s="1" t="s">
        <v>811</v>
      </c>
      <c r="L104" s="1" t="s">
        <v>62</v>
      </c>
      <c r="M104" s="1" t="s">
        <v>346</v>
      </c>
    </row>
    <row r="105" spans="1:13">
      <c r="A105" s="1">
        <v>104</v>
      </c>
      <c r="B105" s="1" t="s">
        <v>814</v>
      </c>
      <c r="C105" s="1" t="s">
        <v>346</v>
      </c>
      <c r="D105" s="1" t="s">
        <v>297</v>
      </c>
      <c r="E105" s="1" t="s">
        <v>298</v>
      </c>
      <c r="F105" s="1" t="s">
        <v>884</v>
      </c>
      <c r="G105" s="1" t="s">
        <v>346</v>
      </c>
      <c r="H105" s="1" t="s">
        <v>346</v>
      </c>
      <c r="I105" s="1" t="s">
        <v>346</v>
      </c>
      <c r="J105" s="1" t="s">
        <v>346</v>
      </c>
      <c r="K105" s="1" t="s">
        <v>811</v>
      </c>
      <c r="L105" s="1" t="s">
        <v>62</v>
      </c>
      <c r="M105" s="1" t="s">
        <v>346</v>
      </c>
    </row>
    <row r="106" spans="1:13">
      <c r="A106" s="1">
        <v>105</v>
      </c>
      <c r="B106" s="1" t="s">
        <v>814</v>
      </c>
      <c r="C106" s="1" t="s">
        <v>346</v>
      </c>
      <c r="D106" s="1" t="s">
        <v>299</v>
      </c>
      <c r="E106" s="1" t="s">
        <v>300</v>
      </c>
      <c r="F106" s="1" t="s">
        <v>885</v>
      </c>
      <c r="G106" s="1" t="s">
        <v>346</v>
      </c>
      <c r="H106" s="1" t="s">
        <v>346</v>
      </c>
      <c r="I106" s="1" t="s">
        <v>346</v>
      </c>
      <c r="J106" s="1" t="s">
        <v>346</v>
      </c>
      <c r="K106" s="1" t="s">
        <v>811</v>
      </c>
      <c r="L106" s="1" t="s">
        <v>62</v>
      </c>
      <c r="M106" s="1" t="s">
        <v>346</v>
      </c>
    </row>
    <row r="107" spans="1:13">
      <c r="A107" s="1">
        <v>106</v>
      </c>
      <c r="B107" s="1" t="s">
        <v>814</v>
      </c>
      <c r="C107" s="1" t="s">
        <v>346</v>
      </c>
      <c r="D107" s="1" t="s">
        <v>301</v>
      </c>
      <c r="E107" s="1" t="s">
        <v>302</v>
      </c>
      <c r="F107" s="1" t="s">
        <v>886</v>
      </c>
      <c r="G107" s="1" t="s">
        <v>346</v>
      </c>
      <c r="H107" s="1" t="s">
        <v>346</v>
      </c>
      <c r="I107" s="1" t="s">
        <v>346</v>
      </c>
      <c r="J107" s="1" t="s">
        <v>346</v>
      </c>
      <c r="K107" s="1" t="s">
        <v>811</v>
      </c>
      <c r="L107" s="1" t="s">
        <v>62</v>
      </c>
      <c r="M107" s="1" t="s">
        <v>346</v>
      </c>
    </row>
    <row r="108" spans="1:13">
      <c r="A108" s="1">
        <v>107</v>
      </c>
      <c r="B108" s="1" t="s">
        <v>814</v>
      </c>
      <c r="C108" s="1" t="s">
        <v>346</v>
      </c>
      <c r="D108" s="1" t="s">
        <v>303</v>
      </c>
      <c r="E108" s="1" t="s">
        <v>304</v>
      </c>
      <c r="F108" s="1" t="s">
        <v>887</v>
      </c>
      <c r="G108" s="1" t="s">
        <v>346</v>
      </c>
      <c r="H108" s="1" t="s">
        <v>346</v>
      </c>
      <c r="I108" s="1" t="s">
        <v>346</v>
      </c>
      <c r="J108" s="1" t="s">
        <v>346</v>
      </c>
      <c r="K108" s="1" t="s">
        <v>811</v>
      </c>
      <c r="L108" s="1" t="s">
        <v>62</v>
      </c>
      <c r="M108" s="1" t="s">
        <v>346</v>
      </c>
    </row>
    <row r="109" spans="1:13">
      <c r="A109" s="1">
        <v>108</v>
      </c>
      <c r="B109" s="1" t="s">
        <v>814</v>
      </c>
      <c r="C109" s="1" t="s">
        <v>346</v>
      </c>
      <c r="D109" s="1" t="s">
        <v>305</v>
      </c>
      <c r="E109" s="1" t="s">
        <v>306</v>
      </c>
      <c r="F109" s="1" t="s">
        <v>888</v>
      </c>
      <c r="G109" s="1" t="s">
        <v>346</v>
      </c>
      <c r="H109" s="1" t="s">
        <v>346</v>
      </c>
      <c r="I109" s="1" t="s">
        <v>346</v>
      </c>
      <c r="J109" s="1" t="s">
        <v>346</v>
      </c>
      <c r="K109" s="1" t="s">
        <v>811</v>
      </c>
      <c r="L109" s="1" t="s">
        <v>62</v>
      </c>
      <c r="M109" s="1" t="s">
        <v>346</v>
      </c>
    </row>
    <row r="110" spans="1:13">
      <c r="A110" s="1">
        <v>109</v>
      </c>
      <c r="B110" s="1" t="s">
        <v>814</v>
      </c>
      <c r="C110" s="1" t="s">
        <v>346</v>
      </c>
      <c r="D110" s="1" t="s">
        <v>307</v>
      </c>
      <c r="E110" s="1" t="s">
        <v>308</v>
      </c>
      <c r="F110" s="1" t="s">
        <v>889</v>
      </c>
      <c r="G110" s="1" t="s">
        <v>346</v>
      </c>
      <c r="H110" s="1" t="s">
        <v>346</v>
      </c>
      <c r="I110" s="1" t="s">
        <v>346</v>
      </c>
      <c r="J110" s="1" t="s">
        <v>346</v>
      </c>
      <c r="K110" s="1" t="s">
        <v>811</v>
      </c>
      <c r="L110" s="1" t="s">
        <v>62</v>
      </c>
      <c r="M110" s="1" t="s">
        <v>346</v>
      </c>
    </row>
    <row r="111" spans="1:13">
      <c r="A111" s="1">
        <v>110</v>
      </c>
      <c r="B111" s="1" t="s">
        <v>814</v>
      </c>
      <c r="C111" s="1" t="s">
        <v>346</v>
      </c>
      <c r="D111" s="1" t="s">
        <v>309</v>
      </c>
      <c r="E111" s="1" t="s">
        <v>310</v>
      </c>
      <c r="F111" s="1" t="s">
        <v>886</v>
      </c>
      <c r="G111" s="1" t="s">
        <v>346</v>
      </c>
      <c r="H111" s="1" t="s">
        <v>346</v>
      </c>
      <c r="I111" s="1" t="s">
        <v>346</v>
      </c>
      <c r="J111" s="1" t="s">
        <v>346</v>
      </c>
      <c r="K111" s="1" t="s">
        <v>811</v>
      </c>
      <c r="L111" s="1" t="s">
        <v>62</v>
      </c>
      <c r="M111" s="1" t="s">
        <v>346</v>
      </c>
    </row>
    <row r="112" spans="1:13">
      <c r="A112" s="1">
        <v>111</v>
      </c>
      <c r="B112" s="1" t="s">
        <v>814</v>
      </c>
      <c r="C112" s="1" t="s">
        <v>346</v>
      </c>
      <c r="D112" s="1" t="s">
        <v>311</v>
      </c>
      <c r="E112" s="1" t="s">
        <v>312</v>
      </c>
      <c r="F112" s="1" t="s">
        <v>879</v>
      </c>
      <c r="G112" s="1" t="s">
        <v>346</v>
      </c>
      <c r="H112" s="1" t="s">
        <v>346</v>
      </c>
      <c r="I112" s="1" t="s">
        <v>346</v>
      </c>
      <c r="J112" s="1" t="s">
        <v>346</v>
      </c>
      <c r="K112" s="1" t="s">
        <v>811</v>
      </c>
      <c r="L112" s="1" t="s">
        <v>62</v>
      </c>
      <c r="M112" s="1" t="s">
        <v>346</v>
      </c>
    </row>
    <row r="113" spans="1:13">
      <c r="A113" s="1">
        <v>112</v>
      </c>
      <c r="B113" s="1" t="s">
        <v>814</v>
      </c>
      <c r="C113" s="1" t="s">
        <v>346</v>
      </c>
      <c r="D113" s="1" t="s">
        <v>313</v>
      </c>
      <c r="E113" s="1" t="s">
        <v>314</v>
      </c>
      <c r="F113" s="1" t="s">
        <v>879</v>
      </c>
      <c r="G113" s="1" t="s">
        <v>346</v>
      </c>
      <c r="H113" s="1" t="s">
        <v>346</v>
      </c>
      <c r="I113" s="1" t="s">
        <v>346</v>
      </c>
      <c r="J113" s="1" t="s">
        <v>346</v>
      </c>
      <c r="K113" s="1" t="s">
        <v>811</v>
      </c>
      <c r="L113" s="1" t="s">
        <v>62</v>
      </c>
      <c r="M113" s="1" t="s">
        <v>346</v>
      </c>
    </row>
    <row r="114" spans="1:13">
      <c r="A114" s="1">
        <v>113</v>
      </c>
      <c r="B114" s="1" t="s">
        <v>814</v>
      </c>
      <c r="C114" s="1" t="s">
        <v>346</v>
      </c>
      <c r="D114" s="1" t="s">
        <v>315</v>
      </c>
      <c r="E114" s="1" t="s">
        <v>316</v>
      </c>
      <c r="F114" s="1" t="s">
        <v>860</v>
      </c>
      <c r="G114" s="1" t="s">
        <v>346</v>
      </c>
      <c r="H114" s="1" t="s">
        <v>346</v>
      </c>
      <c r="I114" s="1" t="s">
        <v>346</v>
      </c>
      <c r="J114" s="1" t="s">
        <v>346</v>
      </c>
      <c r="K114" s="1" t="s">
        <v>811</v>
      </c>
      <c r="L114" s="1" t="s">
        <v>62</v>
      </c>
      <c r="M114" s="1" t="s">
        <v>346</v>
      </c>
    </row>
    <row r="115" spans="1:13">
      <c r="A115" s="1">
        <v>114</v>
      </c>
      <c r="B115" s="1" t="s">
        <v>814</v>
      </c>
      <c r="C115" s="1" t="s">
        <v>346</v>
      </c>
      <c r="D115" s="1" t="s">
        <v>317</v>
      </c>
      <c r="E115" s="1" t="s">
        <v>318</v>
      </c>
      <c r="F115" s="1" t="s">
        <v>882</v>
      </c>
      <c r="G115" s="1" t="s">
        <v>346</v>
      </c>
      <c r="H115" s="1" t="s">
        <v>346</v>
      </c>
      <c r="I115" s="1" t="s">
        <v>346</v>
      </c>
      <c r="J115" s="1" t="s">
        <v>346</v>
      </c>
      <c r="K115" s="1" t="s">
        <v>811</v>
      </c>
      <c r="L115" s="1" t="s">
        <v>62</v>
      </c>
      <c r="M115" s="1" t="s">
        <v>346</v>
      </c>
    </row>
    <row r="116" spans="1:13">
      <c r="A116" s="1">
        <v>115</v>
      </c>
      <c r="B116" s="1" t="s">
        <v>814</v>
      </c>
      <c r="C116" s="1" t="s">
        <v>346</v>
      </c>
      <c r="D116" s="1" t="s">
        <v>319</v>
      </c>
      <c r="E116" s="1" t="s">
        <v>320</v>
      </c>
      <c r="F116" s="1" t="s">
        <v>863</v>
      </c>
      <c r="G116" s="1" t="s">
        <v>346</v>
      </c>
      <c r="H116" s="1" t="s">
        <v>346</v>
      </c>
      <c r="I116" s="1" t="s">
        <v>346</v>
      </c>
      <c r="J116" s="1" t="s">
        <v>346</v>
      </c>
      <c r="K116" s="1" t="s">
        <v>811</v>
      </c>
      <c r="L116" s="1" t="s">
        <v>62</v>
      </c>
      <c r="M116" s="1" t="s">
        <v>346</v>
      </c>
    </row>
    <row r="117" spans="1:13">
      <c r="A117" s="1">
        <v>116</v>
      </c>
      <c r="B117" s="1" t="s">
        <v>814</v>
      </c>
      <c r="C117" s="1" t="s">
        <v>346</v>
      </c>
      <c r="D117" s="1" t="s">
        <v>321</v>
      </c>
      <c r="E117" s="1" t="s">
        <v>322</v>
      </c>
      <c r="F117" s="1" t="s">
        <v>883</v>
      </c>
      <c r="G117" s="1" t="s">
        <v>346</v>
      </c>
      <c r="H117" s="1" t="s">
        <v>346</v>
      </c>
      <c r="I117" s="1" t="s">
        <v>346</v>
      </c>
      <c r="J117" s="1" t="s">
        <v>346</v>
      </c>
      <c r="K117" s="1" t="s">
        <v>811</v>
      </c>
      <c r="L117" s="1" t="s">
        <v>62</v>
      </c>
      <c r="M117" s="1" t="s">
        <v>346</v>
      </c>
    </row>
    <row r="118" spans="1:13">
      <c r="A118" s="1">
        <v>117</v>
      </c>
      <c r="B118" s="1" t="s">
        <v>814</v>
      </c>
      <c r="C118" s="1" t="s">
        <v>346</v>
      </c>
      <c r="D118" s="1" t="s">
        <v>323</v>
      </c>
      <c r="E118" s="1" t="s">
        <v>324</v>
      </c>
      <c r="F118" s="1" t="s">
        <v>877</v>
      </c>
      <c r="G118" s="1" t="s">
        <v>346</v>
      </c>
      <c r="H118" s="1" t="s">
        <v>346</v>
      </c>
      <c r="I118" s="1" t="s">
        <v>346</v>
      </c>
      <c r="J118" s="1" t="s">
        <v>346</v>
      </c>
      <c r="K118" s="1" t="s">
        <v>811</v>
      </c>
      <c r="L118" s="1" t="s">
        <v>62</v>
      </c>
      <c r="M118" s="1" t="s">
        <v>346</v>
      </c>
    </row>
    <row r="119" spans="1:13">
      <c r="A119" s="1">
        <v>118</v>
      </c>
      <c r="B119" s="1" t="s">
        <v>814</v>
      </c>
      <c r="C119" s="1" t="s">
        <v>346</v>
      </c>
      <c r="D119" s="1" t="s">
        <v>325</v>
      </c>
      <c r="E119" s="1" t="s">
        <v>326</v>
      </c>
      <c r="F119" s="1" t="s">
        <v>890</v>
      </c>
      <c r="G119" s="1" t="s">
        <v>346</v>
      </c>
      <c r="H119" s="1" t="s">
        <v>346</v>
      </c>
      <c r="I119" s="1" t="s">
        <v>346</v>
      </c>
      <c r="J119" s="1" t="s">
        <v>346</v>
      </c>
      <c r="K119" s="1" t="s">
        <v>811</v>
      </c>
      <c r="L119" s="1" t="s">
        <v>62</v>
      </c>
      <c r="M119" s="1" t="s">
        <v>346</v>
      </c>
    </row>
    <row r="120" spans="1:13">
      <c r="A120" s="1">
        <v>119</v>
      </c>
      <c r="B120" s="1" t="s">
        <v>809</v>
      </c>
      <c r="C120" s="1" t="s">
        <v>346</v>
      </c>
      <c r="D120" s="1" t="s">
        <v>327</v>
      </c>
      <c r="E120" s="1" t="s">
        <v>328</v>
      </c>
      <c r="F120" s="1" t="s">
        <v>891</v>
      </c>
      <c r="G120" s="1" t="s">
        <v>346</v>
      </c>
      <c r="H120" s="1" t="s">
        <v>346</v>
      </c>
      <c r="I120" s="1" t="s">
        <v>346</v>
      </c>
      <c r="J120" s="1" t="s">
        <v>346</v>
      </c>
      <c r="K120" s="1" t="s">
        <v>892</v>
      </c>
      <c r="L120" s="1" t="s">
        <v>329</v>
      </c>
      <c r="M120" s="1" t="s">
        <v>346</v>
      </c>
    </row>
    <row r="121" spans="1:13">
      <c r="A121" s="1">
        <v>120</v>
      </c>
      <c r="B121" s="1" t="s">
        <v>809</v>
      </c>
      <c r="C121" s="1" t="s">
        <v>346</v>
      </c>
      <c r="D121" s="1" t="s">
        <v>330</v>
      </c>
      <c r="E121" s="1" t="s">
        <v>331</v>
      </c>
      <c r="F121" s="1" t="s">
        <v>893</v>
      </c>
      <c r="G121" s="1" t="s">
        <v>346</v>
      </c>
      <c r="H121" s="1" t="s">
        <v>346</v>
      </c>
      <c r="I121" s="1" t="s">
        <v>346</v>
      </c>
      <c r="J121" s="1" t="s">
        <v>346</v>
      </c>
      <c r="K121" s="1" t="s">
        <v>892</v>
      </c>
      <c r="L121" s="1" t="s">
        <v>94</v>
      </c>
      <c r="M121" s="1" t="s">
        <v>346</v>
      </c>
    </row>
    <row r="122" spans="1:13">
      <c r="A122" s="1">
        <v>121</v>
      </c>
      <c r="B122" s="1" t="s">
        <v>809</v>
      </c>
      <c r="C122" s="1" t="s">
        <v>346</v>
      </c>
      <c r="D122" s="1" t="s">
        <v>205</v>
      </c>
      <c r="E122" s="1" t="s">
        <v>206</v>
      </c>
      <c r="F122" s="1" t="s">
        <v>843</v>
      </c>
      <c r="G122" s="1" t="s">
        <v>346</v>
      </c>
      <c r="H122" s="1" t="s">
        <v>346</v>
      </c>
      <c r="I122" s="1" t="s">
        <v>346</v>
      </c>
      <c r="J122" s="1" t="s">
        <v>346</v>
      </c>
      <c r="K122" s="1" t="s">
        <v>892</v>
      </c>
      <c r="L122" s="1" t="s">
        <v>207</v>
      </c>
      <c r="M122" s="1" t="s">
        <v>346</v>
      </c>
    </row>
    <row r="123" spans="1:13">
      <c r="A123" s="1">
        <v>122</v>
      </c>
      <c r="B123" s="1" t="s">
        <v>809</v>
      </c>
      <c r="C123" s="1" t="s">
        <v>346</v>
      </c>
      <c r="D123" s="1" t="s">
        <v>332</v>
      </c>
      <c r="E123" s="1" t="s">
        <v>333</v>
      </c>
      <c r="F123" s="1" t="s">
        <v>894</v>
      </c>
      <c r="G123" s="1" t="s">
        <v>346</v>
      </c>
      <c r="H123" s="1" t="s">
        <v>346</v>
      </c>
      <c r="I123" s="1" t="s">
        <v>346</v>
      </c>
      <c r="J123" s="1" t="s">
        <v>346</v>
      </c>
      <c r="K123" s="1" t="s">
        <v>892</v>
      </c>
      <c r="L123" s="1" t="s">
        <v>44</v>
      </c>
      <c r="M123" s="1" t="s">
        <v>346</v>
      </c>
    </row>
    <row r="124" spans="1:13">
      <c r="A124" s="1">
        <v>123</v>
      </c>
      <c r="B124" s="1" t="s">
        <v>809</v>
      </c>
      <c r="C124" s="1" t="s">
        <v>346</v>
      </c>
      <c r="D124" s="1" t="s">
        <v>334</v>
      </c>
      <c r="E124" s="1" t="s">
        <v>335</v>
      </c>
      <c r="F124" s="1" t="s">
        <v>895</v>
      </c>
      <c r="G124" s="1" t="s">
        <v>346</v>
      </c>
      <c r="H124" s="1" t="s">
        <v>346</v>
      </c>
      <c r="I124" s="1" t="s">
        <v>346</v>
      </c>
      <c r="J124" s="1" t="s">
        <v>346</v>
      </c>
      <c r="K124" s="1" t="s">
        <v>892</v>
      </c>
      <c r="L124" s="1" t="s">
        <v>143</v>
      </c>
      <c r="M124" s="1" t="s">
        <v>346</v>
      </c>
    </row>
    <row r="125" spans="1:13">
      <c r="A125" s="1">
        <v>124</v>
      </c>
      <c r="B125" s="1" t="s">
        <v>809</v>
      </c>
      <c r="C125" s="1" t="s">
        <v>346</v>
      </c>
      <c r="D125" s="1" t="s">
        <v>336</v>
      </c>
      <c r="E125" s="1" t="s">
        <v>337</v>
      </c>
      <c r="F125" s="1" t="s">
        <v>896</v>
      </c>
      <c r="G125" s="1" t="s">
        <v>346</v>
      </c>
      <c r="H125" s="1" t="s">
        <v>346</v>
      </c>
      <c r="I125" s="1" t="s">
        <v>346</v>
      </c>
      <c r="J125" s="1" t="s">
        <v>346</v>
      </c>
      <c r="K125" s="1" t="s">
        <v>892</v>
      </c>
      <c r="L125" s="1" t="s">
        <v>143</v>
      </c>
      <c r="M125" s="1" t="s">
        <v>346</v>
      </c>
    </row>
    <row r="126" spans="1:13">
      <c r="A126" s="1">
        <v>125</v>
      </c>
      <c r="B126" s="1" t="s">
        <v>809</v>
      </c>
      <c r="C126" s="1" t="s">
        <v>346</v>
      </c>
      <c r="D126" s="1" t="s">
        <v>338</v>
      </c>
      <c r="E126" s="1" t="s">
        <v>339</v>
      </c>
      <c r="F126" s="1" t="s">
        <v>897</v>
      </c>
      <c r="G126" s="1" t="s">
        <v>346</v>
      </c>
      <c r="H126" s="1" t="s">
        <v>346</v>
      </c>
      <c r="I126" s="1" t="s">
        <v>346</v>
      </c>
      <c r="J126" s="1" t="s">
        <v>346</v>
      </c>
      <c r="K126" s="1" t="s">
        <v>892</v>
      </c>
      <c r="L126" s="1" t="s">
        <v>143</v>
      </c>
      <c r="M126" s="1" t="s">
        <v>346</v>
      </c>
    </row>
    <row r="127" spans="1:13">
      <c r="A127" s="1">
        <v>126</v>
      </c>
      <c r="B127" s="1" t="s">
        <v>898</v>
      </c>
      <c r="C127" s="1" t="s">
        <v>346</v>
      </c>
      <c r="D127" s="1" t="s">
        <v>340</v>
      </c>
      <c r="E127" s="1" t="s">
        <v>339</v>
      </c>
      <c r="F127" s="1" t="s">
        <v>897</v>
      </c>
      <c r="G127" s="1" t="s">
        <v>346</v>
      </c>
      <c r="H127" s="1" t="s">
        <v>346</v>
      </c>
      <c r="I127" s="1" t="s">
        <v>346</v>
      </c>
      <c r="J127" s="1" t="s">
        <v>346</v>
      </c>
      <c r="K127" s="1" t="s">
        <v>892</v>
      </c>
      <c r="L127" s="1" t="s">
        <v>143</v>
      </c>
      <c r="M127" s="1" t="s">
        <v>346</v>
      </c>
    </row>
    <row r="128" spans="1:13">
      <c r="A128" s="1">
        <v>127</v>
      </c>
      <c r="B128" s="1" t="s">
        <v>809</v>
      </c>
      <c r="C128" s="1" t="s">
        <v>346</v>
      </c>
      <c r="D128" s="1" t="s">
        <v>341</v>
      </c>
      <c r="E128" s="1" t="s">
        <v>130</v>
      </c>
      <c r="F128" s="1" t="s">
        <v>822</v>
      </c>
      <c r="G128" s="1" t="s">
        <v>346</v>
      </c>
      <c r="H128" s="1" t="s">
        <v>346</v>
      </c>
      <c r="I128" s="1" t="s">
        <v>346</v>
      </c>
      <c r="J128" s="1" t="s">
        <v>346</v>
      </c>
      <c r="K128" s="1" t="s">
        <v>892</v>
      </c>
      <c r="L128" s="1" t="s">
        <v>143</v>
      </c>
      <c r="M128" s="1" t="s">
        <v>346</v>
      </c>
    </row>
    <row r="129" spans="1:13">
      <c r="A129" s="1">
        <v>128</v>
      </c>
      <c r="B129" s="1" t="s">
        <v>814</v>
      </c>
      <c r="C129" s="1" t="s">
        <v>346</v>
      </c>
      <c r="D129" s="1" t="s">
        <v>342</v>
      </c>
      <c r="E129" s="1" t="s">
        <v>183</v>
      </c>
      <c r="F129" s="1" t="s">
        <v>835</v>
      </c>
      <c r="G129" s="1" t="s">
        <v>346</v>
      </c>
      <c r="H129" s="1" t="s">
        <v>346</v>
      </c>
      <c r="I129" s="1" t="s">
        <v>346</v>
      </c>
      <c r="J129" s="1" t="s">
        <v>346</v>
      </c>
      <c r="K129" s="1" t="s">
        <v>892</v>
      </c>
      <c r="L129" s="1" t="s">
        <v>44</v>
      </c>
      <c r="M129" s="1" t="s">
        <v>346</v>
      </c>
    </row>
    <row r="130" spans="1:13">
      <c r="A130" s="1">
        <v>129</v>
      </c>
      <c r="B130" s="1" t="s">
        <v>769</v>
      </c>
      <c r="C130" s="1" t="s">
        <v>346</v>
      </c>
      <c r="D130" s="1" t="s">
        <v>343</v>
      </c>
      <c r="E130" s="1" t="s">
        <v>344</v>
      </c>
      <c r="F130" s="1" t="s">
        <v>899</v>
      </c>
      <c r="G130" s="1" t="s">
        <v>346</v>
      </c>
      <c r="H130" s="1" t="s">
        <v>346</v>
      </c>
      <c r="I130" s="1" t="s">
        <v>346</v>
      </c>
      <c r="J130" s="1" t="s">
        <v>346</v>
      </c>
      <c r="K130" s="1" t="s">
        <v>892</v>
      </c>
      <c r="L130" s="1" t="s">
        <v>143</v>
      </c>
      <c r="M130" s="1" t="s">
        <v>346</v>
      </c>
    </row>
    <row r="131" spans="1:13">
      <c r="A131" s="1">
        <v>130</v>
      </c>
      <c r="B131" s="1" t="s">
        <v>769</v>
      </c>
      <c r="C131" s="1" t="s">
        <v>346</v>
      </c>
      <c r="D131" s="1" t="s">
        <v>345</v>
      </c>
      <c r="E131" s="1" t="s">
        <v>346</v>
      </c>
      <c r="F131" s="1" t="s">
        <v>900</v>
      </c>
      <c r="G131" s="1" t="s">
        <v>346</v>
      </c>
      <c r="H131" s="1" t="s">
        <v>346</v>
      </c>
      <c r="I131" s="1" t="s">
        <v>346</v>
      </c>
      <c r="J131" s="1" t="s">
        <v>346</v>
      </c>
      <c r="K131" s="1" t="s">
        <v>892</v>
      </c>
      <c r="L131" s="1" t="s">
        <v>44</v>
      </c>
      <c r="M131" s="1" t="s">
        <v>346</v>
      </c>
    </row>
    <row r="132" spans="1:13">
      <c r="A132" s="1">
        <v>131</v>
      </c>
      <c r="B132" s="1" t="s">
        <v>769</v>
      </c>
      <c r="C132" s="1" t="s">
        <v>346</v>
      </c>
      <c r="D132" s="1" t="s">
        <v>347</v>
      </c>
      <c r="E132" s="1" t="s">
        <v>348</v>
      </c>
      <c r="F132" s="1" t="s">
        <v>901</v>
      </c>
      <c r="G132" s="1" t="s">
        <v>346</v>
      </c>
      <c r="H132" s="1" t="s">
        <v>346</v>
      </c>
      <c r="I132" s="1" t="s">
        <v>346</v>
      </c>
      <c r="J132" s="1" t="s">
        <v>346</v>
      </c>
      <c r="K132" s="1" t="s">
        <v>892</v>
      </c>
      <c r="L132" s="1" t="s">
        <v>44</v>
      </c>
      <c r="M132" s="1" t="s">
        <v>346</v>
      </c>
    </row>
    <row r="133" spans="1:13">
      <c r="A133" s="1">
        <v>132</v>
      </c>
      <c r="B133" s="1" t="s">
        <v>769</v>
      </c>
      <c r="C133" s="1" t="s">
        <v>346</v>
      </c>
      <c r="D133" s="1" t="s">
        <v>349</v>
      </c>
      <c r="E133" s="1" t="s">
        <v>346</v>
      </c>
      <c r="F133" s="1" t="s">
        <v>902</v>
      </c>
      <c r="G133" s="1" t="s">
        <v>346</v>
      </c>
      <c r="H133" s="1" t="s">
        <v>346</v>
      </c>
      <c r="I133" s="1" t="s">
        <v>346</v>
      </c>
      <c r="J133" s="1" t="s">
        <v>346</v>
      </c>
      <c r="K133" s="1" t="s">
        <v>892</v>
      </c>
      <c r="L133" s="1" t="s">
        <v>143</v>
      </c>
      <c r="M133" s="1" t="s">
        <v>346</v>
      </c>
    </row>
    <row r="134" spans="1:13">
      <c r="A134" s="1">
        <v>133</v>
      </c>
      <c r="B134" s="1" t="s">
        <v>814</v>
      </c>
      <c r="C134" s="1" t="s">
        <v>346</v>
      </c>
      <c r="D134" s="1" t="s">
        <v>350</v>
      </c>
      <c r="E134" s="1" t="s">
        <v>346</v>
      </c>
      <c r="F134" s="1" t="s">
        <v>903</v>
      </c>
      <c r="G134" s="1" t="s">
        <v>346</v>
      </c>
      <c r="H134" s="1" t="s">
        <v>346</v>
      </c>
      <c r="I134" s="1" t="s">
        <v>346</v>
      </c>
      <c r="J134" s="1" t="s">
        <v>346</v>
      </c>
      <c r="K134" s="1" t="s">
        <v>892</v>
      </c>
      <c r="L134" s="1" t="s">
        <v>351</v>
      </c>
      <c r="M134" s="1" t="s">
        <v>346</v>
      </c>
    </row>
    <row r="135" spans="1:13">
      <c r="A135" s="1">
        <v>134</v>
      </c>
      <c r="B135" s="1" t="s">
        <v>814</v>
      </c>
      <c r="C135" s="1" t="s">
        <v>346</v>
      </c>
      <c r="D135" s="1" t="s">
        <v>352</v>
      </c>
      <c r="E135" s="1" t="s">
        <v>346</v>
      </c>
      <c r="F135" s="1" t="s">
        <v>904</v>
      </c>
      <c r="G135" s="1" t="s">
        <v>346</v>
      </c>
      <c r="H135" s="1" t="s">
        <v>346</v>
      </c>
      <c r="I135" s="1" t="s">
        <v>346</v>
      </c>
      <c r="J135" s="1" t="s">
        <v>346</v>
      </c>
      <c r="K135" s="1" t="s">
        <v>892</v>
      </c>
      <c r="L135" s="1" t="s">
        <v>62</v>
      </c>
      <c r="M135" s="1" t="s">
        <v>346</v>
      </c>
    </row>
    <row r="136" spans="1:13">
      <c r="A136" s="1">
        <v>135</v>
      </c>
      <c r="B136" s="1" t="s">
        <v>809</v>
      </c>
      <c r="C136" s="1" t="s">
        <v>346</v>
      </c>
      <c r="D136" s="1" t="s">
        <v>353</v>
      </c>
      <c r="E136" s="1" t="s">
        <v>346</v>
      </c>
      <c r="F136" s="1" t="s">
        <v>904</v>
      </c>
      <c r="G136" s="1" t="s">
        <v>346</v>
      </c>
      <c r="H136" s="1" t="s">
        <v>346</v>
      </c>
      <c r="I136" s="1" t="s">
        <v>346</v>
      </c>
      <c r="J136" s="1" t="s">
        <v>346</v>
      </c>
      <c r="K136" s="1" t="s">
        <v>892</v>
      </c>
      <c r="L136" s="1" t="s">
        <v>62</v>
      </c>
      <c r="M136" s="1" t="s">
        <v>346</v>
      </c>
    </row>
    <row r="137" spans="1:13">
      <c r="A137" s="1">
        <v>136</v>
      </c>
      <c r="B137" s="1" t="s">
        <v>814</v>
      </c>
      <c r="C137" s="1" t="s">
        <v>346</v>
      </c>
      <c r="D137" s="1" t="s">
        <v>354</v>
      </c>
      <c r="E137" s="1" t="s">
        <v>310</v>
      </c>
      <c r="F137" s="1" t="s">
        <v>905</v>
      </c>
      <c r="G137" s="1" t="s">
        <v>346</v>
      </c>
      <c r="H137" s="1" t="s">
        <v>346</v>
      </c>
      <c r="I137" s="1" t="s">
        <v>346</v>
      </c>
      <c r="J137" s="1" t="s">
        <v>346</v>
      </c>
      <c r="K137" s="1" t="s">
        <v>892</v>
      </c>
      <c r="L137" s="1" t="s">
        <v>62</v>
      </c>
      <c r="M137" s="1" t="s">
        <v>346</v>
      </c>
    </row>
    <row r="138" spans="1:13">
      <c r="A138" s="1">
        <v>137</v>
      </c>
      <c r="B138" s="1" t="s">
        <v>814</v>
      </c>
      <c r="C138" s="1" t="s">
        <v>346</v>
      </c>
      <c r="D138" s="1" t="s">
        <v>355</v>
      </c>
      <c r="E138" s="1" t="s">
        <v>252</v>
      </c>
      <c r="F138" s="1" t="s">
        <v>863</v>
      </c>
      <c r="G138" s="1" t="s">
        <v>346</v>
      </c>
      <c r="H138" s="1" t="s">
        <v>346</v>
      </c>
      <c r="I138" s="1" t="s">
        <v>346</v>
      </c>
      <c r="J138" s="1" t="s">
        <v>346</v>
      </c>
      <c r="K138" s="1" t="s">
        <v>892</v>
      </c>
      <c r="L138" s="1" t="s">
        <v>62</v>
      </c>
      <c r="M138" s="1" t="s">
        <v>346</v>
      </c>
    </row>
    <row r="139" spans="1:13">
      <c r="A139" s="1">
        <v>138</v>
      </c>
      <c r="B139" s="1" t="s">
        <v>814</v>
      </c>
      <c r="C139" s="1" t="s">
        <v>346</v>
      </c>
      <c r="D139" s="1" t="s">
        <v>356</v>
      </c>
      <c r="E139" s="1" t="s">
        <v>346</v>
      </c>
      <c r="F139" s="1" t="s">
        <v>904</v>
      </c>
      <c r="G139" s="1" t="s">
        <v>346</v>
      </c>
      <c r="H139" s="1" t="s">
        <v>346</v>
      </c>
      <c r="I139" s="1" t="s">
        <v>346</v>
      </c>
      <c r="J139" s="1" t="s">
        <v>346</v>
      </c>
      <c r="K139" s="1" t="s">
        <v>892</v>
      </c>
      <c r="L139" s="1" t="s">
        <v>62</v>
      </c>
      <c r="M139" s="1" t="s">
        <v>346</v>
      </c>
    </row>
    <row r="140" spans="1:13">
      <c r="A140" s="1">
        <v>139</v>
      </c>
      <c r="B140" s="1" t="s">
        <v>814</v>
      </c>
      <c r="C140" s="1" t="s">
        <v>346</v>
      </c>
      <c r="D140" s="1" t="s">
        <v>357</v>
      </c>
      <c r="E140" s="1" t="s">
        <v>312</v>
      </c>
      <c r="F140" s="1" t="s">
        <v>879</v>
      </c>
      <c r="G140" s="1" t="s">
        <v>346</v>
      </c>
      <c r="H140" s="1" t="s">
        <v>346</v>
      </c>
      <c r="I140" s="1" t="s">
        <v>346</v>
      </c>
      <c r="J140" s="1" t="s">
        <v>346</v>
      </c>
      <c r="K140" s="1" t="s">
        <v>892</v>
      </c>
      <c r="L140" s="1" t="s">
        <v>62</v>
      </c>
      <c r="M140" s="1" t="s">
        <v>346</v>
      </c>
    </row>
    <row r="141" spans="1:13">
      <c r="A141" s="1">
        <v>140</v>
      </c>
      <c r="B141" s="1" t="s">
        <v>809</v>
      </c>
      <c r="C141" s="1" t="s">
        <v>346</v>
      </c>
      <c r="D141" s="1" t="s">
        <v>358</v>
      </c>
      <c r="E141" s="1" t="s">
        <v>346</v>
      </c>
      <c r="F141" s="1" t="s">
        <v>904</v>
      </c>
      <c r="G141" s="1" t="s">
        <v>346</v>
      </c>
      <c r="H141" s="1" t="s">
        <v>346</v>
      </c>
      <c r="I141" s="1" t="s">
        <v>346</v>
      </c>
      <c r="J141" s="1" t="s">
        <v>346</v>
      </c>
      <c r="K141" s="1" t="s">
        <v>892</v>
      </c>
      <c r="L141" s="1" t="s">
        <v>62</v>
      </c>
      <c r="M141" s="1" t="s">
        <v>346</v>
      </c>
    </row>
    <row r="142" spans="1:13">
      <c r="A142" s="1">
        <v>141</v>
      </c>
      <c r="B142" s="1" t="s">
        <v>814</v>
      </c>
      <c r="C142" s="1" t="s">
        <v>346</v>
      </c>
      <c r="D142" s="1" t="s">
        <v>359</v>
      </c>
      <c r="E142" s="1" t="s">
        <v>346</v>
      </c>
      <c r="F142" s="1" t="s">
        <v>904</v>
      </c>
      <c r="G142" s="1" t="s">
        <v>346</v>
      </c>
      <c r="H142" s="1" t="s">
        <v>346</v>
      </c>
      <c r="I142" s="1" t="s">
        <v>346</v>
      </c>
      <c r="J142" s="1" t="s">
        <v>346</v>
      </c>
      <c r="K142" s="1" t="s">
        <v>892</v>
      </c>
      <c r="L142" s="1" t="s">
        <v>62</v>
      </c>
      <c r="M142" s="1" t="s">
        <v>346</v>
      </c>
    </row>
    <row r="143" spans="1:13">
      <c r="A143" s="1">
        <v>142</v>
      </c>
      <c r="B143" s="1" t="s">
        <v>814</v>
      </c>
      <c r="C143" s="1" t="s">
        <v>346</v>
      </c>
      <c r="D143" s="1" t="s">
        <v>360</v>
      </c>
      <c r="E143" s="1" t="s">
        <v>221</v>
      </c>
      <c r="F143" s="1" t="s">
        <v>906</v>
      </c>
      <c r="G143" s="1" t="s">
        <v>346</v>
      </c>
      <c r="H143" s="1" t="s">
        <v>346</v>
      </c>
      <c r="I143" s="1" t="s">
        <v>346</v>
      </c>
      <c r="J143" s="1" t="s">
        <v>346</v>
      </c>
      <c r="K143" s="1" t="s">
        <v>892</v>
      </c>
      <c r="L143" s="1" t="s">
        <v>222</v>
      </c>
      <c r="M143" s="1" t="s">
        <v>346</v>
      </c>
    </row>
    <row r="144" spans="1:13">
      <c r="A144" s="1">
        <v>143</v>
      </c>
      <c r="B144" s="1" t="s">
        <v>814</v>
      </c>
      <c r="C144" s="1" t="s">
        <v>346</v>
      </c>
      <c r="D144" s="1" t="s">
        <v>361</v>
      </c>
      <c r="E144" s="1" t="s">
        <v>154</v>
      </c>
      <c r="F144" s="1" t="s">
        <v>818</v>
      </c>
      <c r="G144" s="1" t="s">
        <v>346</v>
      </c>
      <c r="H144" s="1" t="s">
        <v>346</v>
      </c>
      <c r="I144" s="1" t="s">
        <v>346</v>
      </c>
      <c r="J144" s="1" t="s">
        <v>346</v>
      </c>
      <c r="K144" s="1" t="s">
        <v>892</v>
      </c>
      <c r="L144" s="1" t="s">
        <v>143</v>
      </c>
      <c r="M144" s="1" t="s">
        <v>346</v>
      </c>
    </row>
    <row r="145" spans="1:13">
      <c r="A145" s="1">
        <v>144</v>
      </c>
      <c r="B145" s="1" t="s">
        <v>809</v>
      </c>
      <c r="C145" s="1" t="s">
        <v>346</v>
      </c>
      <c r="D145" s="1" t="s">
        <v>362</v>
      </c>
      <c r="E145" s="1" t="s">
        <v>346</v>
      </c>
      <c r="F145" s="1" t="s">
        <v>907</v>
      </c>
      <c r="G145" s="1" t="s">
        <v>346</v>
      </c>
      <c r="H145" s="1" t="s">
        <v>346</v>
      </c>
      <c r="I145" s="1" t="s">
        <v>346</v>
      </c>
      <c r="J145" s="1" t="s">
        <v>346</v>
      </c>
      <c r="K145" s="1" t="s">
        <v>892</v>
      </c>
      <c r="L145" s="1" t="s">
        <v>44</v>
      </c>
      <c r="M145" s="1" t="s">
        <v>346</v>
      </c>
    </row>
    <row r="146" spans="1:13">
      <c r="A146" s="1">
        <v>145</v>
      </c>
      <c r="B146" s="1" t="s">
        <v>878</v>
      </c>
      <c r="C146" s="1" t="s">
        <v>346</v>
      </c>
      <c r="D146" s="1" t="s">
        <v>363</v>
      </c>
      <c r="E146" s="1" t="s">
        <v>346</v>
      </c>
      <c r="F146" s="1" t="s">
        <v>908</v>
      </c>
      <c r="G146" s="1" t="s">
        <v>346</v>
      </c>
      <c r="H146" s="1" t="s">
        <v>346</v>
      </c>
      <c r="I146" s="1" t="s">
        <v>346</v>
      </c>
      <c r="J146" s="1" t="s">
        <v>346</v>
      </c>
      <c r="K146" s="1" t="s">
        <v>892</v>
      </c>
      <c r="L146" s="1" t="s">
        <v>201</v>
      </c>
      <c r="M146" s="1" t="s">
        <v>346</v>
      </c>
    </row>
    <row r="147" spans="1:13">
      <c r="A147" s="1">
        <v>146</v>
      </c>
      <c r="B147" s="1" t="s">
        <v>809</v>
      </c>
      <c r="C147" s="1" t="s">
        <v>346</v>
      </c>
      <c r="D147" s="1" t="s">
        <v>330</v>
      </c>
      <c r="E147" s="1" t="s">
        <v>346</v>
      </c>
      <c r="F147" s="1" t="s">
        <v>909</v>
      </c>
      <c r="G147" s="1" t="s">
        <v>346</v>
      </c>
      <c r="H147" s="1" t="s">
        <v>346</v>
      </c>
      <c r="I147" s="1" t="s">
        <v>346</v>
      </c>
      <c r="J147" s="1" t="s">
        <v>346</v>
      </c>
      <c r="K147" s="1" t="s">
        <v>892</v>
      </c>
      <c r="L147" s="1" t="s">
        <v>94</v>
      </c>
      <c r="M147" s="1" t="s">
        <v>346</v>
      </c>
    </row>
    <row r="148" spans="1:13">
      <c r="A148" s="1">
        <v>147</v>
      </c>
      <c r="B148" s="1" t="s">
        <v>809</v>
      </c>
      <c r="C148" s="1" t="s">
        <v>346</v>
      </c>
      <c r="D148" s="1" t="s">
        <v>364</v>
      </c>
      <c r="E148" s="1" t="s">
        <v>365</v>
      </c>
      <c r="F148" s="1" t="s">
        <v>910</v>
      </c>
      <c r="G148" s="1" t="s">
        <v>346</v>
      </c>
      <c r="H148" s="1" t="s">
        <v>346</v>
      </c>
      <c r="I148" s="1" t="s">
        <v>346</v>
      </c>
      <c r="J148" s="1" t="s">
        <v>346</v>
      </c>
      <c r="K148" s="1" t="s">
        <v>892</v>
      </c>
      <c r="L148" s="1" t="s">
        <v>94</v>
      </c>
      <c r="M148" s="1" t="s">
        <v>346</v>
      </c>
    </row>
    <row r="149" spans="1:13">
      <c r="A149" s="1">
        <v>148</v>
      </c>
      <c r="B149" s="1" t="s">
        <v>814</v>
      </c>
      <c r="C149" s="1" t="s">
        <v>346</v>
      </c>
      <c r="D149" s="1" t="s">
        <v>366</v>
      </c>
      <c r="E149" s="1" t="s">
        <v>212</v>
      </c>
      <c r="F149" s="1" t="s">
        <v>911</v>
      </c>
      <c r="G149" s="1" t="s">
        <v>346</v>
      </c>
      <c r="H149" s="1" t="s">
        <v>346</v>
      </c>
      <c r="I149" s="1" t="s">
        <v>346</v>
      </c>
      <c r="J149" s="1" t="s">
        <v>346</v>
      </c>
      <c r="K149" s="1" t="s">
        <v>892</v>
      </c>
      <c r="L149" s="1" t="s">
        <v>213</v>
      </c>
      <c r="M149" s="1" t="s">
        <v>346</v>
      </c>
    </row>
    <row r="150" spans="1:13">
      <c r="A150" s="1">
        <v>149</v>
      </c>
      <c r="B150" s="1" t="s">
        <v>814</v>
      </c>
      <c r="C150" s="1" t="s">
        <v>346</v>
      </c>
      <c r="D150" s="1" t="s">
        <v>367</v>
      </c>
      <c r="E150" s="1" t="s">
        <v>346</v>
      </c>
      <c r="F150" s="1" t="s">
        <v>907</v>
      </c>
      <c r="G150" s="1" t="s">
        <v>346</v>
      </c>
      <c r="H150" s="1" t="s">
        <v>346</v>
      </c>
      <c r="I150" s="1" t="s">
        <v>346</v>
      </c>
      <c r="J150" s="1" t="s">
        <v>346</v>
      </c>
      <c r="K150" s="1" t="s">
        <v>892</v>
      </c>
      <c r="L150" s="1" t="s">
        <v>143</v>
      </c>
      <c r="M150" s="1" t="s">
        <v>346</v>
      </c>
    </row>
  </sheetData>
  <autoFilter ref="A1:N30" xr:uid="{00000000-0009-0000-0000-000005000000}"/>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6"/>
  <sheetViews>
    <sheetView workbookViewId="0"/>
  </sheetViews>
  <sheetFormatPr baseColWidth="10" defaultColWidth="8.7109375" defaultRowHeight="20"/>
  <sheetData>
    <row r="1" spans="1:19">
      <c r="A1" s="1" t="s">
        <v>34</v>
      </c>
      <c r="B1" s="1" t="s">
        <v>40</v>
      </c>
      <c r="C1" s="1" t="s">
        <v>45</v>
      </c>
      <c r="D1" s="1" t="s">
        <v>49</v>
      </c>
      <c r="E1" s="1" t="s">
        <v>54</v>
      </c>
      <c r="F1" s="1" t="s">
        <v>58</v>
      </c>
      <c r="G1" s="1" t="s">
        <v>63</v>
      </c>
      <c r="H1" s="1" t="s">
        <v>67</v>
      </c>
      <c r="I1" s="1" t="s">
        <v>71</v>
      </c>
      <c r="J1" s="1" t="s">
        <v>75</v>
      </c>
      <c r="K1" s="1" t="s">
        <v>80</v>
      </c>
      <c r="L1" s="1" t="s">
        <v>85</v>
      </c>
      <c r="M1" s="1" t="s">
        <v>90</v>
      </c>
      <c r="N1" s="1" t="s">
        <v>95</v>
      </c>
      <c r="O1" s="1" t="s">
        <v>99</v>
      </c>
      <c r="P1" s="1" t="s">
        <v>104</v>
      </c>
      <c r="Q1" s="1" t="s">
        <v>109</v>
      </c>
      <c r="R1" s="1" t="s">
        <v>113</v>
      </c>
      <c r="S1" s="1" t="s">
        <v>118</v>
      </c>
    </row>
    <row r="2" spans="1:19">
      <c r="A2" s="1" t="s">
        <v>394</v>
      </c>
      <c r="B2" s="1" t="s">
        <v>408</v>
      </c>
      <c r="C2" s="1" t="s">
        <v>416</v>
      </c>
      <c r="D2" s="1" t="s">
        <v>416</v>
      </c>
      <c r="E2" s="1" t="s">
        <v>433</v>
      </c>
      <c r="F2" s="1" t="s">
        <v>443</v>
      </c>
      <c r="G2" s="1" t="s">
        <v>448</v>
      </c>
      <c r="H2" s="1" t="s">
        <v>460</v>
      </c>
      <c r="I2" s="1" t="s">
        <v>467</v>
      </c>
      <c r="J2" s="1" t="s">
        <v>472</v>
      </c>
      <c r="K2" s="1" t="s">
        <v>475</v>
      </c>
      <c r="L2" s="1" t="s">
        <v>490</v>
      </c>
      <c r="M2" s="1" t="s">
        <v>496</v>
      </c>
      <c r="N2" s="1" t="s">
        <v>499</v>
      </c>
      <c r="O2" s="1" t="s">
        <v>505</v>
      </c>
      <c r="P2" s="1" t="s">
        <v>511</v>
      </c>
      <c r="Q2" s="1" t="s">
        <v>514</v>
      </c>
      <c r="R2" s="1" t="s">
        <v>518</v>
      </c>
      <c r="S2" s="1" t="s">
        <v>521</v>
      </c>
    </row>
    <row r="3" spans="1:19">
      <c r="A3" s="1" t="s">
        <v>404</v>
      </c>
      <c r="B3" s="1" t="s">
        <v>411</v>
      </c>
      <c r="C3" s="1" t="s">
        <v>422</v>
      </c>
      <c r="D3" s="1" t="s">
        <v>422</v>
      </c>
      <c r="E3" s="1" t="s">
        <v>436</v>
      </c>
      <c r="F3" s="1" t="s">
        <v>439</v>
      </c>
      <c r="G3" s="1" t="s">
        <v>446</v>
      </c>
      <c r="H3" s="1" t="s">
        <v>457</v>
      </c>
      <c r="I3" s="1" t="s">
        <v>464</v>
      </c>
      <c r="J3" s="1" t="s">
        <v>464</v>
      </c>
      <c r="K3" s="1" t="s">
        <v>478</v>
      </c>
      <c r="L3" s="1" t="s">
        <v>487</v>
      </c>
      <c r="M3" s="1" t="s">
        <v>493</v>
      </c>
      <c r="N3" s="1" t="s">
        <v>502</v>
      </c>
      <c r="P3" s="1" t="s">
        <v>508</v>
      </c>
    </row>
    <row r="4" spans="1:19">
      <c r="A4" s="1" t="s">
        <v>398</v>
      </c>
      <c r="B4" s="1" t="s">
        <v>413</v>
      </c>
      <c r="C4" s="1" t="s">
        <v>418</v>
      </c>
      <c r="D4" s="1" t="s">
        <v>425</v>
      </c>
      <c r="H4" s="1" t="s">
        <v>451</v>
      </c>
      <c r="K4" s="1" t="s">
        <v>484</v>
      </c>
    </row>
    <row r="5" spans="1:19">
      <c r="A5" s="1" t="s">
        <v>401</v>
      </c>
      <c r="C5" s="1" t="s">
        <v>425</v>
      </c>
      <c r="H5" s="1" t="s">
        <v>912</v>
      </c>
      <c r="K5" s="1" t="s">
        <v>481</v>
      </c>
    </row>
    <row r="6" spans="1:19">
      <c r="H6" s="1" t="s">
        <v>454</v>
      </c>
    </row>
  </sheetData>
  <phoneticPr fontId="1"/>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20"/>
  <sheetViews>
    <sheetView workbookViewId="0"/>
  </sheetViews>
  <sheetFormatPr baseColWidth="10" defaultColWidth="8.7109375" defaultRowHeight="20"/>
  <sheetData>
    <row r="1" spans="1:24">
      <c r="A1" t="s">
        <v>913</v>
      </c>
      <c r="B1" t="s">
        <v>914</v>
      </c>
      <c r="C1" t="s">
        <v>915</v>
      </c>
      <c r="D1" t="s">
        <v>916</v>
      </c>
      <c r="F1" t="s">
        <v>40</v>
      </c>
      <c r="G1" t="s">
        <v>34</v>
      </c>
      <c r="H1" t="s">
        <v>45</v>
      </c>
      <c r="I1" t="s">
        <v>49</v>
      </c>
      <c r="J1" t="s">
        <v>54</v>
      </c>
      <c r="K1" t="s">
        <v>58</v>
      </c>
      <c r="L1" t="s">
        <v>63</v>
      </c>
      <c r="M1" t="s">
        <v>67</v>
      </c>
      <c r="N1" t="s">
        <v>71</v>
      </c>
      <c r="O1" t="s">
        <v>75</v>
      </c>
      <c r="P1" t="s">
        <v>80</v>
      </c>
      <c r="Q1" t="s">
        <v>85</v>
      </c>
      <c r="R1" t="s">
        <v>90</v>
      </c>
      <c r="S1" t="s">
        <v>95</v>
      </c>
      <c r="T1" t="s">
        <v>99</v>
      </c>
      <c r="U1" t="s">
        <v>104</v>
      </c>
      <c r="V1" t="s">
        <v>109</v>
      </c>
      <c r="W1" t="s">
        <v>113</v>
      </c>
      <c r="X1" t="s">
        <v>118</v>
      </c>
    </row>
    <row r="2" spans="1:24">
      <c r="A2" t="s">
        <v>40</v>
      </c>
      <c r="B2" t="s">
        <v>35</v>
      </c>
      <c r="C2" t="s">
        <v>40</v>
      </c>
      <c r="D2" t="s">
        <v>36</v>
      </c>
      <c r="F2" t="s">
        <v>408</v>
      </c>
      <c r="G2" t="s">
        <v>394</v>
      </c>
      <c r="H2" t="s">
        <v>416</v>
      </c>
      <c r="I2" t="s">
        <v>416</v>
      </c>
      <c r="J2" t="s">
        <v>433</v>
      </c>
      <c r="K2" t="s">
        <v>443</v>
      </c>
      <c r="L2" t="s">
        <v>448</v>
      </c>
      <c r="M2" t="s">
        <v>460</v>
      </c>
      <c r="N2" t="s">
        <v>467</v>
      </c>
      <c r="O2" t="s">
        <v>472</v>
      </c>
      <c r="P2" t="s">
        <v>475</v>
      </c>
      <c r="Q2" t="s">
        <v>490</v>
      </c>
      <c r="R2" t="s">
        <v>496</v>
      </c>
      <c r="S2" t="s">
        <v>499</v>
      </c>
      <c r="T2" t="s">
        <v>505</v>
      </c>
      <c r="U2" t="s">
        <v>511</v>
      </c>
      <c r="V2" t="s">
        <v>514</v>
      </c>
      <c r="W2" t="s">
        <v>518</v>
      </c>
      <c r="X2" t="s">
        <v>521</v>
      </c>
    </row>
    <row r="3" spans="1:24">
      <c r="A3" t="s">
        <v>34</v>
      </c>
      <c r="B3" t="s">
        <v>917</v>
      </c>
      <c r="C3" t="s">
        <v>34</v>
      </c>
      <c r="D3" t="s">
        <v>41</v>
      </c>
      <c r="F3" t="s">
        <v>411</v>
      </c>
      <c r="G3" t="s">
        <v>404</v>
      </c>
      <c r="H3" t="s">
        <v>422</v>
      </c>
      <c r="I3" t="s">
        <v>422</v>
      </c>
      <c r="J3" t="s">
        <v>436</v>
      </c>
      <c r="K3" t="s">
        <v>439</v>
      </c>
      <c r="L3" t="s">
        <v>446</v>
      </c>
      <c r="M3" t="s">
        <v>457</v>
      </c>
      <c r="N3" t="s">
        <v>464</v>
      </c>
      <c r="O3" t="s">
        <v>464</v>
      </c>
      <c r="P3" t="s">
        <v>478</v>
      </c>
      <c r="Q3" t="s">
        <v>487</v>
      </c>
      <c r="R3" t="s">
        <v>493</v>
      </c>
      <c r="S3" t="s">
        <v>502</v>
      </c>
      <c r="U3" t="s">
        <v>508</v>
      </c>
    </row>
    <row r="4" spans="1:24">
      <c r="A4" t="s">
        <v>45</v>
      </c>
      <c r="B4" t="s">
        <v>918</v>
      </c>
      <c r="C4" t="s">
        <v>45</v>
      </c>
      <c r="D4" t="s">
        <v>46</v>
      </c>
      <c r="F4" t="s">
        <v>413</v>
      </c>
      <c r="G4" t="s">
        <v>398</v>
      </c>
      <c r="H4" t="s">
        <v>418</v>
      </c>
      <c r="I4" t="s">
        <v>425</v>
      </c>
      <c r="M4" t="s">
        <v>451</v>
      </c>
      <c r="P4" t="s">
        <v>484</v>
      </c>
    </row>
    <row r="5" spans="1:24">
      <c r="A5" t="s">
        <v>49</v>
      </c>
      <c r="B5" t="s">
        <v>919</v>
      </c>
      <c r="C5" t="s">
        <v>49</v>
      </c>
      <c r="D5" t="s">
        <v>50</v>
      </c>
      <c r="G5" t="s">
        <v>401</v>
      </c>
      <c r="H5" t="s">
        <v>425</v>
      </c>
      <c r="M5" t="s">
        <v>454</v>
      </c>
      <c r="P5" t="s">
        <v>481</v>
      </c>
    </row>
    <row r="6" spans="1:24">
      <c r="A6" t="s">
        <v>54</v>
      </c>
      <c r="B6" t="s">
        <v>920</v>
      </c>
      <c r="C6" t="s">
        <v>54</v>
      </c>
      <c r="D6" t="s">
        <v>55</v>
      </c>
    </row>
    <row r="7" spans="1:24">
      <c r="A7" t="s">
        <v>58</v>
      </c>
      <c r="B7" t="s">
        <v>921</v>
      </c>
      <c r="C7" t="s">
        <v>58</v>
      </c>
      <c r="D7" t="s">
        <v>59</v>
      </c>
    </row>
    <row r="8" spans="1:24">
      <c r="A8" t="s">
        <v>63</v>
      </c>
      <c r="B8" t="s">
        <v>922</v>
      </c>
      <c r="C8" t="s">
        <v>63</v>
      </c>
      <c r="D8" t="s">
        <v>64</v>
      </c>
    </row>
    <row r="9" spans="1:24">
      <c r="A9" t="s">
        <v>67</v>
      </c>
      <c r="B9" t="s">
        <v>923</v>
      </c>
      <c r="C9" t="s">
        <v>67</v>
      </c>
      <c r="D9" t="s">
        <v>68</v>
      </c>
    </row>
    <row r="10" spans="1:24">
      <c r="A10" t="s">
        <v>71</v>
      </c>
      <c r="C10" t="s">
        <v>71</v>
      </c>
      <c r="D10" t="s">
        <v>72</v>
      </c>
    </row>
    <row r="11" spans="1:24">
      <c r="A11" t="s">
        <v>75</v>
      </c>
      <c r="C11" t="s">
        <v>75</v>
      </c>
      <c r="D11" t="s">
        <v>76</v>
      </c>
    </row>
    <row r="12" spans="1:24">
      <c r="A12" t="s">
        <v>80</v>
      </c>
      <c r="C12" t="s">
        <v>80</v>
      </c>
      <c r="D12" t="s">
        <v>81</v>
      </c>
    </row>
    <row r="13" spans="1:24">
      <c r="A13" t="s">
        <v>85</v>
      </c>
      <c r="C13" t="s">
        <v>85</v>
      </c>
      <c r="D13" t="s">
        <v>86</v>
      </c>
    </row>
    <row r="14" spans="1:24">
      <c r="A14" t="s">
        <v>90</v>
      </c>
      <c r="C14" t="s">
        <v>90</v>
      </c>
      <c r="D14" t="s">
        <v>91</v>
      </c>
    </row>
    <row r="15" spans="1:24">
      <c r="A15" t="s">
        <v>95</v>
      </c>
      <c r="C15" t="s">
        <v>95</v>
      </c>
      <c r="D15" t="s">
        <v>96</v>
      </c>
    </row>
    <row r="16" spans="1:24">
      <c r="A16" t="s">
        <v>99</v>
      </c>
      <c r="C16" t="s">
        <v>99</v>
      </c>
      <c r="D16" t="s">
        <v>100</v>
      </c>
    </row>
    <row r="17" spans="1:4">
      <c r="A17" t="s">
        <v>104</v>
      </c>
      <c r="C17" t="s">
        <v>104</v>
      </c>
      <c r="D17" t="s">
        <v>105</v>
      </c>
    </row>
    <row r="18" spans="1:4">
      <c r="A18" t="s">
        <v>109</v>
      </c>
      <c r="C18" t="s">
        <v>109</v>
      </c>
      <c r="D18" t="s">
        <v>110</v>
      </c>
    </row>
    <row r="19" spans="1:4">
      <c r="A19" t="s">
        <v>113</v>
      </c>
      <c r="C19" t="s">
        <v>113</v>
      </c>
      <c r="D19" t="s">
        <v>114</v>
      </c>
    </row>
    <row r="20" spans="1:4">
      <c r="A20" t="s">
        <v>118</v>
      </c>
      <c r="C20" t="s">
        <v>118</v>
      </c>
      <c r="D20" t="s">
        <v>119</v>
      </c>
    </row>
  </sheetData>
  <phoneticPr fontId="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10</vt:i4>
      </vt:variant>
      <vt:variant>
        <vt:lpstr>名前付き一覧</vt:lpstr>
      </vt:variant>
      <vt:variant>
        <vt:i4>22</vt:i4>
      </vt:variant>
    </vt:vector>
  </HeadingPairs>
  <TitlesOfParts>
    <vt:vector size="32" baseType="lpstr">
      <vt:lpstr>架電シート</vt:lpstr>
      <vt:lpstr>設定</vt:lpstr>
      <vt:lpstr>スクリプト_フロー</vt:lpstr>
      <vt:lpstr>0217</vt:lpstr>
      <vt:lpstr>Sheet1</vt:lpstr>
      <vt:lpstr>Sheet2</vt:lpstr>
      <vt:lpstr>Q&amp;A</vt:lpstr>
      <vt:lpstr>リスト</vt:lpstr>
      <vt:lpstr>リスト_依存プルダウン</vt:lpstr>
      <vt:lpstr>内部_リスト</vt:lpstr>
      <vt:lpstr>MAP_TABLE</vt:lpstr>
      <vt:lpstr>RESPX_001</vt:lpstr>
      <vt:lpstr>RESPX_002</vt:lpstr>
      <vt:lpstr>RESPX_003</vt:lpstr>
      <vt:lpstr>RESPX_004</vt:lpstr>
      <vt:lpstr>RESPX_005</vt:lpstr>
      <vt:lpstr>RESPX_006</vt:lpstr>
      <vt:lpstr>RESPX_007</vt:lpstr>
      <vt:lpstr>RESPX_008</vt:lpstr>
      <vt:lpstr>RESPX_009</vt:lpstr>
      <vt:lpstr>RESPX_010</vt:lpstr>
      <vt:lpstr>RESPX_011</vt:lpstr>
      <vt:lpstr>RESPX_012</vt:lpstr>
      <vt:lpstr>RESPX_013</vt:lpstr>
      <vt:lpstr>RESPX_014</vt:lpstr>
      <vt:lpstr>RESPX_015</vt:lpstr>
      <vt:lpstr>RESPX_016</vt:lpstr>
      <vt:lpstr>RESPX_017</vt:lpstr>
      <vt:lpstr>RESPX_018</vt:lpstr>
      <vt:lpstr>RESPX_019</vt:lpstr>
      <vt:lpstr>STAGE_LIST</vt:lpstr>
      <vt:lpstr>STATUS_LIST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櫻井祐太</dc:creator>
  <cp:lastModifiedBy>櫻井祐太</cp:lastModifiedBy>
  <dcterms:created xsi:type="dcterms:W3CDTF">2026-02-13T09:39:37Z</dcterms:created>
  <dcterms:modified xsi:type="dcterms:W3CDTF">2026-02-17T12:55:14Z</dcterms:modified>
</cp:coreProperties>
</file>